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3.xml" ContentType="application/vnd.ms-office.chartex+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DADS\EXCEL\excel projects\"/>
    </mc:Choice>
  </mc:AlternateContent>
  <xr:revisionPtr revIDLastSave="0" documentId="13_ncr:1_{9BE71525-2460-4D6A-8AED-0176B965AC65}" xr6:coauthVersionLast="47" xr6:coauthVersionMax="47" xr10:uidLastSave="{00000000-0000-0000-0000-000000000000}"/>
  <bookViews>
    <workbookView xWindow="-108" yWindow="-108" windowWidth="23256" windowHeight="12456" activeTab="1" xr2:uid="{A263BDF2-C04C-4552-9FC1-7D40AA9822B4}"/>
  </bookViews>
  <sheets>
    <sheet name="KPI" sheetId="10" r:id="rId1"/>
    <sheet name="Dashboard" sheetId="4" r:id="rId2"/>
    <sheet name="AdoptionRate" sheetId="3" r:id="rId3"/>
    <sheet name="ConsumerTrust" sheetId="7" r:id="rId4"/>
    <sheet name="RegulationStatus" sheetId="11" r:id="rId5"/>
    <sheet name="RevenueIncrease" sheetId="5" r:id="rId6"/>
    <sheet name="Jobloss" sheetId="9" r:id="rId7"/>
    <sheet name="Global_AI_Content_Impact_Datase" sheetId="1" r:id="rId8"/>
  </sheets>
  <definedNames>
    <definedName name="_xlchart.v1.10" hidden="1">Jobloss!$M$3</definedName>
    <definedName name="_xlchart.v1.11" hidden="1">Jobloss!$M$4:$M$13</definedName>
    <definedName name="_xlchart.v1.3" hidden="1">Jobloss!$L$4:$L$13</definedName>
    <definedName name="_xlchart.v1.4" hidden="1">Jobloss!$M$3</definedName>
    <definedName name="_xlchart.v1.5" hidden="1">Jobloss!$M$4:$M$13</definedName>
    <definedName name="_xlchart.v1.9" hidden="1">Jobloss!$L$4:$L$13</definedName>
    <definedName name="_xlchart.v2.0" hidden="1">RegulationStatus!$D$4:$D$6</definedName>
    <definedName name="_xlchart.v2.1" hidden="1">RegulationStatus!$E$3</definedName>
    <definedName name="_xlchart.v2.2" hidden="1">RegulationStatus!$E$4:$E$6</definedName>
    <definedName name="_xlchart.v2.6" hidden="1">RegulationStatus!$D$4:$D$6</definedName>
    <definedName name="_xlchart.v2.7" hidden="1">RegulationStatus!$E$3</definedName>
    <definedName name="_xlchart.v2.8" hidden="1">RegulationStatus!$E$4:$E$6</definedName>
    <definedName name="Slicer_Country">#N/A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L5" i="9" l="1"/>
  <c r="L6" i="9"/>
  <c r="L7" i="9"/>
  <c r="L8" i="9"/>
  <c r="L9" i="9"/>
  <c r="L10" i="9"/>
  <c r="L11" i="9"/>
  <c r="L12" i="9"/>
  <c r="L13" i="9"/>
  <c r="L4" i="9"/>
  <c r="D5" i="11"/>
  <c r="D6" i="11"/>
  <c r="D4" i="11"/>
  <c r="M5" i="9"/>
  <c r="M8" i="9"/>
  <c r="B8" i="10"/>
  <c r="M9" i="9"/>
  <c r="E5" i="11"/>
  <c r="M10" i="9"/>
  <c r="E6" i="11"/>
  <c r="M13" i="9"/>
  <c r="E4" i="11"/>
  <c r="A8" i="10"/>
  <c r="M6" i="9"/>
  <c r="M11" i="9"/>
  <c r="M7" i="9"/>
  <c r="M4" i="9"/>
  <c r="M12" i="9"/>
  <c r="C8" i="10"/>
</calcChain>
</file>

<file path=xl/sharedStrings.xml><?xml version="1.0" encoding="utf-8"?>
<sst xmlns="http://schemas.openxmlformats.org/spreadsheetml/2006/main" count="872" uniqueCount="55">
  <si>
    <t>Country</t>
  </si>
  <si>
    <t>Year</t>
  </si>
  <si>
    <t>Industry</t>
  </si>
  <si>
    <t>AI Adoption Rate (%)</t>
  </si>
  <si>
    <t>AI-Generated Content Volume (TBs per year)</t>
  </si>
  <si>
    <t>Job Loss Due to AI (%)</t>
  </si>
  <si>
    <t>Revenue Increase Due to AI (%)</t>
  </si>
  <si>
    <t>Human-AI Collaboration Rate (%)</t>
  </si>
  <si>
    <t>Top AI Tools Used</t>
  </si>
  <si>
    <t>Regulation Status</t>
  </si>
  <si>
    <t>Consumer Trust in AI (%)</t>
  </si>
  <si>
    <t>Market Share of AI Companies (%)</t>
  </si>
  <si>
    <t>South Korea</t>
  </si>
  <si>
    <t>Media</t>
  </si>
  <si>
    <t>Bard</t>
  </si>
  <si>
    <t>Strict</t>
  </si>
  <si>
    <t>China</t>
  </si>
  <si>
    <t>Legal</t>
  </si>
  <si>
    <t>DALL-E</t>
  </si>
  <si>
    <t>USA</t>
  </si>
  <si>
    <t>Automotive</t>
  </si>
  <si>
    <t>Stable Diffusion</t>
  </si>
  <si>
    <t>Moderate</t>
  </si>
  <si>
    <t>France</t>
  </si>
  <si>
    <t>Claude</t>
  </si>
  <si>
    <t>Gaming</t>
  </si>
  <si>
    <t>Midjourney</t>
  </si>
  <si>
    <t>Retail</t>
  </si>
  <si>
    <t>ChatGPT</t>
  </si>
  <si>
    <t>Lenient</t>
  </si>
  <si>
    <t>Australia</t>
  </si>
  <si>
    <t>UK</t>
  </si>
  <si>
    <t>Canada</t>
  </si>
  <si>
    <t>Education</t>
  </si>
  <si>
    <t>Healthcare</t>
  </si>
  <si>
    <t>Synthesia</t>
  </si>
  <si>
    <t>India</t>
  </si>
  <si>
    <t>Marketing</t>
  </si>
  <si>
    <t>Japan</t>
  </si>
  <si>
    <t>Germany</t>
  </si>
  <si>
    <t>Manufacturing</t>
  </si>
  <si>
    <t>Finance</t>
  </si>
  <si>
    <t>Row Labels</t>
  </si>
  <si>
    <t>Average of AI Adoption Rate (%)</t>
  </si>
  <si>
    <t>Average of Revenue Increase Due to AI (%)</t>
  </si>
  <si>
    <t>Average of Consumer Trust in AI (%)</t>
  </si>
  <si>
    <t>Average of Job Loss Due to AI (%)</t>
  </si>
  <si>
    <t>Average of Human-AI Collaboration Rate (%)</t>
  </si>
  <si>
    <t>AI adoption Rate</t>
  </si>
  <si>
    <t>Increased Revenue</t>
  </si>
  <si>
    <t>Human-AI Collaboration</t>
  </si>
  <si>
    <t>Average of Market Share of AI Companies (%)</t>
  </si>
  <si>
    <t xml:space="preserve">Market Share </t>
  </si>
  <si>
    <t>industry</t>
  </si>
  <si>
    <t>job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</si>
</sst>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2" formatCode="0.00"/>
    </dxf>
    <dxf>
      <numFmt numFmtId="2" formatCode="0.00"/>
    </dxf>
    <dxf>
      <numFmt numFmtId="2" formatCode="0.00"/>
    </dxf>
    <dxf>
      <numFmt numFmtId="2" formatCode="0.00"/>
    </dxf>
    <dxf>
      <numFmt numFmtId="2" formatCode="0.00"/>
    </dxf>
    <dxf>
      <font>
        <color theme="0"/>
      </font>
      <fill>
        <patternFill>
          <bgColor rgb="FFFF6699"/>
        </patternFill>
      </fill>
      <border diagonalUp="0" diagonalDown="0">
        <left style="dotted">
          <color theme="0"/>
        </left>
        <right style="dotted">
          <color theme="0"/>
        </right>
        <top style="dotted">
          <color theme="0"/>
        </top>
        <bottom style="dotted">
          <color theme="0"/>
        </bottom>
        <vertical/>
        <horizontal/>
      </border>
    </dxf>
    <dxf>
      <font>
        <color theme="0"/>
      </font>
      <fill>
        <patternFill>
          <bgColor rgb="FFFF3399"/>
        </patternFill>
      </fill>
    </dxf>
    <dxf>
      <font>
        <b/>
        <i val="0"/>
        <sz val="14"/>
        <color theme="0"/>
        <name val="Century"/>
        <family val="1"/>
        <scheme val="none"/>
      </font>
      <fill>
        <patternFill>
          <bgColor rgb="FFEA691A"/>
        </patternFill>
      </fill>
    </dxf>
    <dxf>
      <font>
        <b/>
        <i val="0"/>
        <sz val="14"/>
        <color theme="5" tint="-0.499984740745262"/>
        <name val="Century"/>
        <family val="1"/>
        <scheme val="none"/>
      </font>
      <fill>
        <patternFill>
          <bgColor theme="0"/>
        </patternFill>
      </fill>
    </dxf>
  </dxfs>
  <tableStyles count="4" defaultTableStyle="TableStyleMedium2" defaultPivotStyle="PivotStyleLight16">
    <tableStyle name="orange&amp;white" pivot="0" table="0" count="10" xr9:uid="{6818C1CA-B0C9-43CB-8460-8A9EEA378980}">
      <tableStyleElement type="wholeTable" dxfId="8"/>
      <tableStyleElement type="headerRow" dxfId="7"/>
    </tableStyle>
    <tableStyle name="Slicer Style 1" pivot="0" table="0" count="1" xr9:uid="{1E31C52D-9468-4569-BA2A-1A44309834F0}">
      <tableStyleElement type="wholeTable" dxfId="6"/>
    </tableStyle>
    <tableStyle name="Slicer Style 2" pivot="0" table="0" count="1" xr9:uid="{29B5488B-3B06-4DF3-ACA3-8E26C18668D5}">
      <tableStyleElement type="wholeTable" dxfId="5"/>
    </tableStyle>
    <tableStyle name="Slicer Style 3" pivot="0" table="0" count="1" xr9:uid="{D107E961-ECDC-40A0-BF17-C8FCBE991ADA}"/>
  </tableStyles>
  <colors>
    <mruColors>
      <color rgb="FFEA691A"/>
      <color rgb="FFF29E6A"/>
      <color rgb="FFF19A65"/>
      <color rgb="FFE66914"/>
      <color rgb="FFEE8240"/>
      <color rgb="FFFFB84D"/>
      <color rgb="FFFFA500"/>
      <color rgb="FFED8C61"/>
      <color rgb="FFF19E65"/>
      <color rgb="FFFF9966"/>
    </mruColors>
  </colors>
  <extLst>
    <ext xmlns:x14="http://schemas.microsoft.com/office/spreadsheetml/2009/9/main" uri="{46F421CA-312F-682f-3DD2-61675219B42D}">
      <x14:dxfs count="9">
        <dxf>
          <font>
            <color theme="0"/>
          </font>
          <fill>
            <patternFill>
              <bgColor rgb="FFFF99CC"/>
            </patternFill>
          </fill>
        </dxf>
        <dxf>
          <font>
            <b val="0"/>
            <i val="0"/>
            <sz val="14"/>
            <color theme="3" tint="-0.24994659260841701"/>
            <name val="Century"/>
            <family val="1"/>
            <scheme val="none"/>
          </font>
          <fill>
            <patternFill>
              <bgColor theme="5" tint="0.39994506668294322"/>
            </patternFill>
          </fill>
        </dxf>
        <dxf>
          <font>
            <b val="0"/>
            <i val="0"/>
            <sz val="14"/>
            <color theme="0"/>
            <name val="Century"/>
            <family val="1"/>
          </font>
          <fill>
            <patternFill>
              <bgColor rgb="FFE66914"/>
            </patternFill>
          </fill>
        </dxf>
        <dxf>
          <font>
            <b val="0"/>
            <i val="0"/>
            <sz val="14"/>
            <color theme="3" tint="-0.24994659260841701"/>
            <name val="Century"/>
            <family val="1"/>
            <scheme val="none"/>
          </font>
          <fill>
            <patternFill>
              <bgColor theme="5" tint="0.59996337778862885"/>
            </patternFill>
          </fill>
        </dxf>
        <dxf>
          <font>
            <b val="0"/>
            <i val="0"/>
            <sz val="14"/>
            <color theme="0"/>
            <name val="Century"/>
            <family val="1"/>
            <scheme val="none"/>
          </font>
          <fill>
            <patternFill>
              <bgColor rgb="FFE66914"/>
            </patternFill>
          </fill>
        </dxf>
        <dxf>
          <font>
            <sz val="14"/>
            <color theme="5" tint="-0.499984740745262"/>
            <name val="Century"/>
            <family val="1"/>
            <scheme val="none"/>
          </font>
          <fill>
            <patternFill>
              <bgColor theme="5" tint="0.39994506668294322"/>
            </patternFill>
          </fill>
        </dxf>
        <dxf>
          <font>
            <b/>
            <i val="0"/>
            <sz val="14"/>
            <color theme="0"/>
            <name val="Century"/>
            <family val="1"/>
            <scheme val="none"/>
          </font>
          <fill>
            <patternFill>
              <bgColor rgb="FFF29E6A"/>
            </patternFill>
          </fill>
        </dxf>
        <dxf>
          <font>
            <sz val="14"/>
            <color rgb="FFEE8240"/>
            <name val="Century"/>
            <family val="1"/>
            <scheme val="none"/>
          </font>
          <fill>
            <patternFill>
              <bgColor theme="0"/>
            </patternFill>
          </fill>
        </dxf>
        <dxf>
          <font>
            <sz val="14"/>
            <color rgb="FFEE8240"/>
            <name val="Century"/>
            <family val="1"/>
            <scheme val="none"/>
          </font>
          <fill>
            <patternFill>
              <bgColor theme="0"/>
            </patternFill>
          </fill>
        </dxf>
      </x14:dxfs>
    </ext>
    <ext xmlns:x14="http://schemas.microsoft.com/office/spreadsheetml/2009/9/main" uri="{EB79DEF2-80B8-43e5-95BD-54CBDDF9020C}">
      <x14:slicerStyles defaultSlicerStyle="SlicerStyleLight1">
        <x14:slicerStyle name="orange&amp;white">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Slicer Style 1"/>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[Impact of AI on Digital Media.xlsx]AdoptionRate!AdoptionRate</c:name>
    <c:fmtId val="29"/>
  </c:pivotSource>
  <c:chart>
    <c:title>
      <c:tx>
        <c:rich>
          <a:bodyPr rot="0" spcFirstLastPara="1" vertOverflow="ellipsis" vert="horz" wrap="square" anchor="ctr" anchorCtr="1"/>
          <a:lstStyle/>
          <a:p>
            <a:pPr>
              <a:defRPr sz="1800" b="1" i="0" u="none" strike="noStrike" kern="1200" spc="0" baseline="0">
                <a:solidFill>
                  <a:schemeClr val="bg1">
                    <a:lumMod val="95000"/>
                  </a:schemeClr>
                </a:solidFill>
                <a:latin typeface="Century" panose="02040604050505020304" pitchFamily="18" charset="0"/>
                <a:ea typeface="+mn-ea"/>
                <a:cs typeface="+mn-cs"/>
              </a:defRPr>
            </a:pPr>
            <a:r>
              <a:rPr lang="en-US" sz="1800" b="1">
                <a:solidFill>
                  <a:schemeClr val="bg1">
                    <a:lumMod val="95000"/>
                  </a:schemeClr>
                </a:solidFill>
                <a:latin typeface="Century" panose="02040604050505020304" pitchFamily="18" charset="0"/>
              </a:rPr>
              <a:t>AI</a:t>
            </a:r>
            <a:r>
              <a:rPr lang="en-US" sz="1800" b="1" baseline="0">
                <a:solidFill>
                  <a:schemeClr val="bg1">
                    <a:lumMod val="95000"/>
                  </a:schemeClr>
                </a:solidFill>
                <a:latin typeface="Century" panose="02040604050505020304" pitchFamily="18" charset="0"/>
              </a:rPr>
              <a:t> Adoption Rate</a:t>
            </a:r>
            <a:endParaRPr lang="en-US" sz="1800" b="1">
              <a:solidFill>
                <a:schemeClr val="bg1">
                  <a:lumMod val="95000"/>
                </a:schemeClr>
              </a:solidFill>
              <a:latin typeface="Century" panose="020406040505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lumMod val="95000"/>
                </a:schemeClr>
              </a:solidFill>
              <a:latin typeface="Century" panose="020406040505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glow rad="50800">
              <a:schemeClr val="accent2">
                <a:lumMod val="75000"/>
                <a:alpha val="40000"/>
              </a:schemeClr>
            </a:glow>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95000"/>
                    </a:schemeClr>
                  </a:solidFill>
                  <a:latin typeface="SansSerif" panose="00000400000000000000" pitchFamily="2" charset="2"/>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AdoptionRate!$B$3</c:f>
              <c:strCache>
                <c:ptCount val="1"/>
                <c:pt idx="0">
                  <c:v>Total</c:v>
                </c:pt>
              </c:strCache>
            </c:strRef>
          </c:tx>
          <c:spPr>
            <a:solidFill>
              <a:schemeClr val="accent2">
                <a:lumMod val="60000"/>
                <a:lumOff val="40000"/>
              </a:schemeClr>
            </a:solidFill>
            <a:ln>
              <a:noFill/>
            </a:ln>
            <a:effectLst>
              <a:glow rad="50800">
                <a:schemeClr val="accent2">
                  <a:lumMod val="75000"/>
                  <a:alpha val="40000"/>
                </a:schemeClr>
              </a:glow>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95000"/>
                      </a:schemeClr>
                    </a:solidFill>
                    <a:latin typeface="SansSerif" panose="00000400000000000000" pitchFamily="2" charset="2"/>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AdoptionRate!$A$4:$A$13</c:f>
              <c:strCache>
                <c:ptCount val="10"/>
                <c:pt idx="0">
                  <c:v>Media</c:v>
                </c:pt>
                <c:pt idx="1">
                  <c:v>Retail</c:v>
                </c:pt>
                <c:pt idx="2">
                  <c:v>Marketing</c:v>
                </c:pt>
                <c:pt idx="3">
                  <c:v>Automotive</c:v>
                </c:pt>
                <c:pt idx="4">
                  <c:v>Healthcare</c:v>
                </c:pt>
                <c:pt idx="5">
                  <c:v>Finance</c:v>
                </c:pt>
                <c:pt idx="6">
                  <c:v>Legal</c:v>
                </c:pt>
                <c:pt idx="7">
                  <c:v>Manufacturing</c:v>
                </c:pt>
                <c:pt idx="8">
                  <c:v>Education</c:v>
                </c:pt>
                <c:pt idx="9">
                  <c:v>Gaming</c:v>
                </c:pt>
              </c:strCache>
            </c:strRef>
          </c:cat>
          <c:val>
            <c:numRef>
              <c:f>AdoptionRate!$B$4:$B$13</c:f>
              <c:numCache>
                <c:formatCode>0.00</c:formatCode>
                <c:ptCount val="10"/>
                <c:pt idx="0">
                  <c:v>47.263225806451615</c:v>
                </c:pt>
                <c:pt idx="1">
                  <c:v>47.905714285714303</c:v>
                </c:pt>
                <c:pt idx="2">
                  <c:v>54.244210526315797</c:v>
                </c:pt>
                <c:pt idx="3">
                  <c:v>54.887894736842114</c:v>
                </c:pt>
                <c:pt idx="4">
                  <c:v>55.734117647058824</c:v>
                </c:pt>
                <c:pt idx="5">
                  <c:v>55.76428571428572</c:v>
                </c:pt>
                <c:pt idx="6">
                  <c:v>56.077647058823523</c:v>
                </c:pt>
                <c:pt idx="7">
                  <c:v>57.014444444444443</c:v>
                </c:pt>
                <c:pt idx="8">
                  <c:v>57.028235294117657</c:v>
                </c:pt>
                <c:pt idx="9">
                  <c:v>60.416296296296295</c:v>
                </c:pt>
              </c:numCache>
            </c:numRef>
          </c:val>
          <c:extLst>
            <c:ext xmlns:c16="http://schemas.microsoft.com/office/drawing/2014/chart" uri="{C3380CC4-5D6E-409C-BE32-E72D297353CC}">
              <c16:uniqueId val="{00000000-B7D1-4C26-AD2A-4ED1CCDCECFD}"/>
            </c:ext>
          </c:extLst>
        </c:ser>
        <c:dLbls>
          <c:showLegendKey val="0"/>
          <c:showVal val="1"/>
          <c:showCatName val="0"/>
          <c:showSerName val="0"/>
          <c:showPercent val="0"/>
          <c:showBubbleSize val="0"/>
        </c:dLbls>
        <c:gapWidth val="150"/>
        <c:axId val="1164647952"/>
        <c:axId val="1164666192"/>
      </c:barChart>
      <c:catAx>
        <c:axId val="1164647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lumMod val="95000"/>
                  </a:schemeClr>
                </a:solidFill>
                <a:latin typeface="Century" panose="02040604050505020304" pitchFamily="18" charset="0"/>
                <a:ea typeface="+mn-ea"/>
                <a:cs typeface="+mn-cs"/>
              </a:defRPr>
            </a:pPr>
            <a:endParaRPr lang="en-US"/>
          </a:p>
        </c:txPr>
        <c:crossAx val="1164666192"/>
        <c:crosses val="autoZero"/>
        <c:auto val="1"/>
        <c:lblAlgn val="ctr"/>
        <c:lblOffset val="100"/>
        <c:noMultiLvlLbl val="0"/>
      </c:catAx>
      <c:valAx>
        <c:axId val="1164666192"/>
        <c:scaling>
          <c:orientation val="minMax"/>
          <c:min val="45"/>
        </c:scaling>
        <c:delete val="1"/>
        <c:axPos val="b"/>
        <c:numFmt formatCode="0.00" sourceLinked="1"/>
        <c:majorTickMark val="none"/>
        <c:minorTickMark val="none"/>
        <c:tickLblPos val="nextTo"/>
        <c:crossAx val="116464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[Impact of AI on Digital Media.xlsx]RevenueIncrease!PivotTable2</c:name>
    <c:fmtId val="14"/>
  </c:pivotSource>
  <c:chart>
    <c:title>
      <c:tx>
        <c:rich>
          <a:bodyPr rot="0" spcFirstLastPara="1" vertOverflow="ellipsis" vert="horz" wrap="square" anchor="ctr" anchorCtr="1"/>
          <a:lstStyle/>
          <a:p>
            <a:pPr>
              <a:defRPr sz="1800" b="1" i="0" u="none" strike="noStrike" kern="1200" spc="0" baseline="0">
                <a:solidFill>
                  <a:schemeClr val="bg1"/>
                </a:solidFill>
                <a:latin typeface="Century" panose="02040604050505020304" pitchFamily="18" charset="0"/>
                <a:ea typeface="+mn-ea"/>
                <a:cs typeface="+mn-cs"/>
              </a:defRPr>
            </a:pPr>
            <a:r>
              <a:rPr lang="en-US" sz="1800" b="1">
                <a:latin typeface="Century" panose="02040604050505020304" pitchFamily="18" charset="0"/>
              </a:rPr>
              <a:t>Increased Revenue by AI</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Century" panose="020406040505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glow rad="50800">
              <a:schemeClr val="accent2">
                <a:lumMod val="75000"/>
                <a:alpha val="40000"/>
              </a:schemeClr>
            </a:glow>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SansSerif" panose="00000400000000000000" pitchFamily="2" charset="2"/>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RevenueIncrease!$B$3</c:f>
              <c:strCache>
                <c:ptCount val="1"/>
                <c:pt idx="0">
                  <c:v>Total</c:v>
                </c:pt>
              </c:strCache>
            </c:strRef>
          </c:tx>
          <c:spPr>
            <a:solidFill>
              <a:schemeClr val="accent2">
                <a:lumMod val="60000"/>
                <a:lumOff val="40000"/>
              </a:schemeClr>
            </a:solidFill>
            <a:ln>
              <a:noFill/>
            </a:ln>
            <a:effectLst>
              <a:glow rad="50800">
                <a:schemeClr val="accent2">
                  <a:lumMod val="75000"/>
                  <a:alpha val="40000"/>
                </a:schemeClr>
              </a:glow>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SansSerif" panose="00000400000000000000" pitchFamily="2" charset="2"/>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RevenueIncrease!$A$4:$A$13</c:f>
              <c:strCache>
                <c:ptCount val="10"/>
                <c:pt idx="0">
                  <c:v>Gaming</c:v>
                </c:pt>
                <c:pt idx="1">
                  <c:v>Finance</c:v>
                </c:pt>
                <c:pt idx="2">
                  <c:v>Marketing</c:v>
                </c:pt>
                <c:pt idx="3">
                  <c:v>Retail</c:v>
                </c:pt>
                <c:pt idx="4">
                  <c:v>Healthcare</c:v>
                </c:pt>
                <c:pt idx="5">
                  <c:v>Education</c:v>
                </c:pt>
                <c:pt idx="6">
                  <c:v>Legal</c:v>
                </c:pt>
                <c:pt idx="7">
                  <c:v>Manufacturing</c:v>
                </c:pt>
                <c:pt idx="8">
                  <c:v>Media</c:v>
                </c:pt>
                <c:pt idx="9">
                  <c:v>Automotive</c:v>
                </c:pt>
              </c:strCache>
            </c:strRef>
          </c:cat>
          <c:val>
            <c:numRef>
              <c:f>RevenueIncrease!$B$4:$B$13</c:f>
              <c:numCache>
                <c:formatCode>0.00</c:formatCode>
                <c:ptCount val="10"/>
                <c:pt idx="0">
                  <c:v>33.234444444444442</c:v>
                </c:pt>
                <c:pt idx="1">
                  <c:v>36.257142857142853</c:v>
                </c:pt>
                <c:pt idx="2">
                  <c:v>36.813684210526304</c:v>
                </c:pt>
                <c:pt idx="3">
                  <c:v>37.679523809523808</c:v>
                </c:pt>
                <c:pt idx="4">
                  <c:v>38.586470588235287</c:v>
                </c:pt>
                <c:pt idx="5">
                  <c:v>39.543529411764709</c:v>
                </c:pt>
                <c:pt idx="6">
                  <c:v>41.824117647058827</c:v>
                </c:pt>
                <c:pt idx="7">
                  <c:v>42.807222222222222</c:v>
                </c:pt>
                <c:pt idx="8">
                  <c:v>43.719677419354831</c:v>
                </c:pt>
                <c:pt idx="9">
                  <c:v>46.48263157894737</c:v>
                </c:pt>
              </c:numCache>
            </c:numRef>
          </c:val>
          <c:extLst>
            <c:ext xmlns:c16="http://schemas.microsoft.com/office/drawing/2014/chart" uri="{C3380CC4-5D6E-409C-BE32-E72D297353CC}">
              <c16:uniqueId val="{00000000-5021-4C43-90DB-8B5F4A515103}"/>
            </c:ext>
          </c:extLst>
        </c:ser>
        <c:dLbls>
          <c:dLblPos val="outEnd"/>
          <c:showLegendKey val="0"/>
          <c:showVal val="1"/>
          <c:showCatName val="0"/>
          <c:showSerName val="0"/>
          <c:showPercent val="0"/>
          <c:showBubbleSize val="0"/>
        </c:dLbls>
        <c:gapWidth val="150"/>
        <c:axId val="1212904576"/>
        <c:axId val="1212905056"/>
      </c:barChart>
      <c:catAx>
        <c:axId val="121290457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bg1"/>
                </a:solidFill>
                <a:latin typeface="Century" panose="02040604050505020304" pitchFamily="18" charset="0"/>
                <a:ea typeface="+mn-ea"/>
                <a:cs typeface="+mn-cs"/>
              </a:defRPr>
            </a:pPr>
            <a:endParaRPr lang="en-US"/>
          </a:p>
        </c:txPr>
        <c:crossAx val="1212905056"/>
        <c:crosses val="autoZero"/>
        <c:auto val="1"/>
        <c:lblAlgn val="ctr"/>
        <c:lblOffset val="100"/>
        <c:noMultiLvlLbl val="0"/>
      </c:catAx>
      <c:valAx>
        <c:axId val="1212905056"/>
        <c:scaling>
          <c:orientation val="minMax"/>
          <c:min val="30"/>
        </c:scaling>
        <c:delete val="1"/>
        <c:axPos val="b"/>
        <c:numFmt formatCode="0.00" sourceLinked="1"/>
        <c:majorTickMark val="none"/>
        <c:minorTickMark val="none"/>
        <c:tickLblPos val="nextTo"/>
        <c:crossAx val="121290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[Impact of AI on Digital Media.xlsx]ConsumerTrust!ConsumerTrust</c:name>
    <c:fmtId val="26"/>
  </c:pivotSource>
  <c:chart>
    <c:title>
      <c:tx>
        <c:rich>
          <a:bodyPr rot="0" spcFirstLastPara="1" vertOverflow="ellipsis" vert="horz" wrap="square" anchor="ctr" anchorCtr="1"/>
          <a:lstStyle/>
          <a:p>
            <a:pPr>
              <a:defRPr sz="1800" b="1" i="0" u="none" strike="noStrike" kern="1200" spc="0" baseline="0">
                <a:solidFill>
                  <a:schemeClr val="bg1"/>
                </a:solidFill>
                <a:latin typeface="Century" panose="02040604050505020304" pitchFamily="18" charset="0"/>
                <a:ea typeface="+mn-ea"/>
                <a:cs typeface="+mn-cs"/>
              </a:defRPr>
            </a:pPr>
            <a:r>
              <a:rPr lang="en-US" sz="1800" b="1">
                <a:solidFill>
                  <a:schemeClr val="bg1"/>
                </a:solidFill>
                <a:latin typeface="Century" panose="02040604050505020304" pitchFamily="18" charset="0"/>
              </a:rPr>
              <a:t>Customer Trust in AI</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Century" panose="02040604050505020304" pitchFamily="18" charset="0"/>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a:glow rad="50800">
              <a:schemeClr val="accent2">
                <a:lumMod val="75000"/>
                <a:alpha val="40000"/>
              </a:schemeClr>
            </a:glow>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SansSerif" panose="00000400000000000000" pitchFamily="2" charset="2"/>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2">
              <a:shade val="47000"/>
            </a:schemeClr>
          </a:solidFill>
          <a:ln w="19050">
            <a:solidFill>
              <a:schemeClr val="lt1"/>
            </a:solidFill>
          </a:ln>
          <a:effectLst>
            <a:glow rad="50800">
              <a:schemeClr val="accent2">
                <a:lumMod val="75000"/>
                <a:alpha val="40000"/>
              </a:schemeClr>
            </a:glow>
            <a:outerShdw blurRad="50800" dist="38100" dir="2700000" algn="tl" rotWithShape="0">
              <a:prstClr val="black">
                <a:alpha val="40000"/>
              </a:prstClr>
            </a:outerShdw>
          </a:effectLst>
        </c:spPr>
      </c:pivotFmt>
      <c:pivotFmt>
        <c:idx val="18"/>
        <c:spPr>
          <a:solidFill>
            <a:schemeClr val="accent2">
              <a:shade val="65000"/>
            </a:schemeClr>
          </a:solidFill>
          <a:ln w="19050">
            <a:solidFill>
              <a:schemeClr val="lt1"/>
            </a:solidFill>
          </a:ln>
          <a:effectLst>
            <a:glow rad="50800">
              <a:schemeClr val="accent2">
                <a:lumMod val="75000"/>
                <a:alpha val="40000"/>
              </a:schemeClr>
            </a:glow>
            <a:outerShdw blurRad="50800" dist="38100" dir="2700000" algn="tl" rotWithShape="0">
              <a:prstClr val="black">
                <a:alpha val="40000"/>
              </a:prstClr>
            </a:outerShdw>
          </a:effectLst>
        </c:spPr>
      </c:pivotFmt>
      <c:pivotFmt>
        <c:idx val="19"/>
        <c:spPr>
          <a:solidFill>
            <a:schemeClr val="accent2">
              <a:shade val="82000"/>
            </a:schemeClr>
          </a:solidFill>
          <a:ln w="19050">
            <a:solidFill>
              <a:schemeClr val="lt1"/>
            </a:solidFill>
          </a:ln>
          <a:effectLst>
            <a:glow rad="50800">
              <a:schemeClr val="accent2">
                <a:lumMod val="75000"/>
                <a:alpha val="40000"/>
              </a:schemeClr>
            </a:glow>
            <a:outerShdw blurRad="50800" dist="38100" dir="2700000" algn="tl" rotWithShape="0">
              <a:prstClr val="black">
                <a:alpha val="40000"/>
              </a:prstClr>
            </a:outerShdw>
          </a:effectLst>
        </c:spPr>
      </c:pivotFmt>
      <c:pivotFmt>
        <c:idx val="20"/>
        <c:spPr>
          <a:solidFill>
            <a:schemeClr val="accent2"/>
          </a:solidFill>
          <a:ln w="19050">
            <a:solidFill>
              <a:schemeClr val="lt1"/>
            </a:solidFill>
          </a:ln>
          <a:effectLst>
            <a:glow rad="50800">
              <a:schemeClr val="accent2">
                <a:lumMod val="75000"/>
                <a:alpha val="40000"/>
              </a:schemeClr>
            </a:glow>
            <a:outerShdw blurRad="50800" dist="38100" dir="2700000" algn="tl" rotWithShape="0">
              <a:prstClr val="black">
                <a:alpha val="40000"/>
              </a:prstClr>
            </a:outerShdw>
          </a:effectLst>
        </c:spPr>
      </c:pivotFmt>
      <c:pivotFmt>
        <c:idx val="21"/>
        <c:spPr>
          <a:solidFill>
            <a:srgbClr val="ED8C61"/>
          </a:solidFill>
          <a:ln w="19050">
            <a:solidFill>
              <a:schemeClr val="lt1"/>
            </a:solidFill>
          </a:ln>
          <a:effectLst>
            <a:glow rad="50800">
              <a:schemeClr val="accent2">
                <a:lumMod val="75000"/>
                <a:alpha val="40000"/>
              </a:schemeClr>
            </a:glow>
            <a:outerShdw blurRad="50800" dist="38100" dir="2700000" algn="tl" rotWithShape="0">
              <a:prstClr val="black">
                <a:alpha val="40000"/>
              </a:prstClr>
            </a:outerShdw>
          </a:effectLst>
        </c:spPr>
      </c:pivotFmt>
      <c:pivotFmt>
        <c:idx val="22"/>
        <c:spPr>
          <a:solidFill>
            <a:srgbClr val="F19E65"/>
          </a:solidFill>
          <a:ln w="19050">
            <a:solidFill>
              <a:schemeClr val="lt1"/>
            </a:solidFill>
          </a:ln>
          <a:effectLst>
            <a:glow rad="50800">
              <a:schemeClr val="accent2">
                <a:lumMod val="75000"/>
                <a:alpha val="40000"/>
              </a:schemeClr>
            </a:glow>
            <a:outerShdw blurRad="50800" dist="38100" dir="2700000" algn="tl" rotWithShape="0">
              <a:prstClr val="black">
                <a:alpha val="40000"/>
              </a:prstClr>
            </a:outerShdw>
          </a:effectLst>
        </c:spPr>
      </c:pivotFmt>
      <c:pivotFmt>
        <c:idx val="23"/>
        <c:spPr>
          <a:solidFill>
            <a:schemeClr val="accent2">
              <a:lumMod val="60000"/>
              <a:lumOff val="40000"/>
            </a:schemeClr>
          </a:solidFill>
          <a:ln w="19050">
            <a:solidFill>
              <a:schemeClr val="lt1"/>
            </a:solidFill>
          </a:ln>
          <a:effectLst>
            <a:glow rad="50800">
              <a:schemeClr val="accent2">
                <a:lumMod val="75000"/>
                <a:alpha val="40000"/>
              </a:schemeClr>
            </a:glow>
            <a:outerShdw blurRad="50800" dist="38100" dir="2700000" algn="tl" rotWithShape="0">
              <a:prstClr val="black">
                <a:alpha val="40000"/>
              </a:prstClr>
            </a:outerShdw>
          </a:effectLst>
        </c:spPr>
      </c:pivotFmt>
    </c:pivotFmts>
    <c:plotArea>
      <c:layout>
        <c:manualLayout>
          <c:layoutTarget val="inner"/>
          <c:xMode val="edge"/>
          <c:yMode val="edge"/>
          <c:x val="0.18309464864926819"/>
          <c:y val="0.15721930592009331"/>
          <c:w val="0.63744999942692737"/>
          <c:h val="0.81097805482647989"/>
        </c:manualLayout>
      </c:layout>
      <c:pieChart>
        <c:varyColors val="1"/>
        <c:ser>
          <c:idx val="0"/>
          <c:order val="0"/>
          <c:tx>
            <c:strRef>
              <c:f>ConsumerTrust!$B$3</c:f>
              <c:strCache>
                <c:ptCount val="1"/>
                <c:pt idx="0">
                  <c:v>Total</c:v>
                </c:pt>
              </c:strCache>
            </c:strRef>
          </c:tx>
          <c:spPr>
            <a:effectLst>
              <a:glow rad="50800">
                <a:schemeClr val="accent2">
                  <a:lumMod val="75000"/>
                  <a:alpha val="40000"/>
                </a:schemeClr>
              </a:glow>
              <a:outerShdw blurRad="50800" dist="38100" dir="2700000" algn="tl" rotWithShape="0">
                <a:prstClr val="black">
                  <a:alpha val="40000"/>
                </a:prstClr>
              </a:outerShdw>
            </a:effectLst>
          </c:spPr>
          <c:dPt>
            <c:idx val="0"/>
            <c:bubble3D val="0"/>
            <c:spPr>
              <a:solidFill>
                <a:schemeClr val="accent2">
                  <a:shade val="47000"/>
                </a:schemeClr>
              </a:solidFill>
              <a:ln w="19050">
                <a:solidFill>
                  <a:schemeClr val="lt1"/>
                </a:solidFill>
              </a:ln>
              <a:effectLst>
                <a:glow rad="50800">
                  <a:schemeClr val="accent2">
                    <a:lumMod val="75000"/>
                    <a:alpha val="40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1-409F-46D6-ADC6-78544629171A}"/>
              </c:ext>
            </c:extLst>
          </c:dPt>
          <c:dPt>
            <c:idx val="1"/>
            <c:bubble3D val="0"/>
            <c:spPr>
              <a:solidFill>
                <a:schemeClr val="accent2">
                  <a:shade val="65000"/>
                </a:schemeClr>
              </a:solidFill>
              <a:ln w="19050">
                <a:solidFill>
                  <a:schemeClr val="lt1"/>
                </a:solidFill>
              </a:ln>
              <a:effectLst>
                <a:glow rad="50800">
                  <a:schemeClr val="accent2">
                    <a:lumMod val="75000"/>
                    <a:alpha val="40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3-409F-46D6-ADC6-78544629171A}"/>
              </c:ext>
            </c:extLst>
          </c:dPt>
          <c:dPt>
            <c:idx val="2"/>
            <c:bubble3D val="0"/>
            <c:spPr>
              <a:solidFill>
                <a:schemeClr val="accent2">
                  <a:shade val="82000"/>
                </a:schemeClr>
              </a:solidFill>
              <a:ln w="19050">
                <a:solidFill>
                  <a:schemeClr val="lt1"/>
                </a:solidFill>
              </a:ln>
              <a:effectLst>
                <a:glow rad="50800">
                  <a:schemeClr val="accent2">
                    <a:lumMod val="75000"/>
                    <a:alpha val="40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5-409F-46D6-ADC6-78544629171A}"/>
              </c:ext>
            </c:extLst>
          </c:dPt>
          <c:dPt>
            <c:idx val="3"/>
            <c:bubble3D val="0"/>
            <c:spPr>
              <a:solidFill>
                <a:schemeClr val="accent2"/>
              </a:solidFill>
              <a:ln w="19050">
                <a:solidFill>
                  <a:schemeClr val="lt1"/>
                </a:solidFill>
              </a:ln>
              <a:effectLst>
                <a:glow rad="50800">
                  <a:schemeClr val="accent2">
                    <a:lumMod val="75000"/>
                    <a:alpha val="40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7-409F-46D6-ADC6-78544629171A}"/>
              </c:ext>
            </c:extLst>
          </c:dPt>
          <c:dPt>
            <c:idx val="4"/>
            <c:bubble3D val="0"/>
            <c:spPr>
              <a:solidFill>
                <a:srgbClr val="ED8C61"/>
              </a:solidFill>
              <a:ln w="19050">
                <a:solidFill>
                  <a:schemeClr val="lt1"/>
                </a:solidFill>
              </a:ln>
              <a:effectLst>
                <a:glow rad="50800">
                  <a:schemeClr val="accent2">
                    <a:lumMod val="75000"/>
                    <a:alpha val="40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9-409F-46D6-ADC6-78544629171A}"/>
              </c:ext>
            </c:extLst>
          </c:dPt>
          <c:dPt>
            <c:idx val="5"/>
            <c:bubble3D val="0"/>
            <c:spPr>
              <a:solidFill>
                <a:srgbClr val="F19E65"/>
              </a:solidFill>
              <a:ln w="19050">
                <a:solidFill>
                  <a:schemeClr val="lt1"/>
                </a:solidFill>
              </a:ln>
              <a:effectLst>
                <a:glow rad="50800">
                  <a:schemeClr val="accent2">
                    <a:lumMod val="75000"/>
                    <a:alpha val="40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B-409F-46D6-ADC6-78544629171A}"/>
              </c:ext>
            </c:extLst>
          </c:dPt>
          <c:dPt>
            <c:idx val="6"/>
            <c:bubble3D val="0"/>
            <c:spPr>
              <a:solidFill>
                <a:schemeClr val="accent2">
                  <a:lumMod val="60000"/>
                  <a:lumOff val="40000"/>
                </a:schemeClr>
              </a:solidFill>
              <a:ln w="19050">
                <a:solidFill>
                  <a:schemeClr val="lt1"/>
                </a:solidFill>
              </a:ln>
              <a:effectLst>
                <a:glow rad="50800">
                  <a:schemeClr val="accent2">
                    <a:lumMod val="75000"/>
                    <a:alpha val="40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D-409F-46D6-ADC6-78544629171A}"/>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SansSerif" panose="00000400000000000000" pitchFamily="2" charset="2"/>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ConsumerTrust!$A$4:$A$10</c:f>
              <c:strCache>
                <c:ptCount val="7"/>
                <c:pt idx="0">
                  <c:v>Bard</c:v>
                </c:pt>
                <c:pt idx="1">
                  <c:v>ChatGPT</c:v>
                </c:pt>
                <c:pt idx="2">
                  <c:v>Claude</c:v>
                </c:pt>
                <c:pt idx="3">
                  <c:v>DALL-E</c:v>
                </c:pt>
                <c:pt idx="4">
                  <c:v>Midjourney</c:v>
                </c:pt>
                <c:pt idx="5">
                  <c:v>Stable Diffusion</c:v>
                </c:pt>
                <c:pt idx="6">
                  <c:v>Synthesia</c:v>
                </c:pt>
              </c:strCache>
            </c:strRef>
          </c:cat>
          <c:val>
            <c:numRef>
              <c:f>ConsumerTrust!$B$4:$B$10</c:f>
              <c:numCache>
                <c:formatCode>0.00</c:formatCode>
                <c:ptCount val="7"/>
                <c:pt idx="0">
                  <c:v>64.315000000000012</c:v>
                </c:pt>
                <c:pt idx="1">
                  <c:v>59.235161290322587</c:v>
                </c:pt>
                <c:pt idx="2">
                  <c:v>60.146774193548374</c:v>
                </c:pt>
                <c:pt idx="3">
                  <c:v>55.689230769230775</c:v>
                </c:pt>
                <c:pt idx="4">
                  <c:v>62.785405405405406</c:v>
                </c:pt>
                <c:pt idx="5">
                  <c:v>52.448888888888874</c:v>
                </c:pt>
                <c:pt idx="6">
                  <c:v>60.563749999999992</c:v>
                </c:pt>
              </c:numCache>
            </c:numRef>
          </c:val>
          <c:extLst>
            <c:ext xmlns:c16="http://schemas.microsoft.com/office/drawing/2014/chart" uri="{C3380CC4-5D6E-409C-BE32-E72D297353CC}">
              <c16:uniqueId val="{0000000E-409F-46D6-ADC6-78544629171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[Impact of AI on Digital Media.xlsx]AdoptionRate!AdoptionRate</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a:t>
            </a:r>
            <a:r>
              <a:rPr lang="en-US" baseline="0"/>
              <a:t> Adoption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AdoptionRate!$B$3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AdoptionRate!$A$4:$A$13</c:f>
              <c:strCache>
                <c:ptCount val="10"/>
                <c:pt idx="0">
                  <c:v>Media</c:v>
                </c:pt>
                <c:pt idx="1">
                  <c:v>Retail</c:v>
                </c:pt>
                <c:pt idx="2">
                  <c:v>Marketing</c:v>
                </c:pt>
                <c:pt idx="3">
                  <c:v>Automotive</c:v>
                </c:pt>
                <c:pt idx="4">
                  <c:v>Healthcare</c:v>
                </c:pt>
                <c:pt idx="5">
                  <c:v>Finance</c:v>
                </c:pt>
                <c:pt idx="6">
                  <c:v>Legal</c:v>
                </c:pt>
                <c:pt idx="7">
                  <c:v>Manufacturing</c:v>
                </c:pt>
                <c:pt idx="8">
                  <c:v>Education</c:v>
                </c:pt>
                <c:pt idx="9">
                  <c:v>Gaming</c:v>
                </c:pt>
              </c:strCache>
            </c:strRef>
          </c:cat>
          <c:val>
            <c:numRef>
              <c:f>AdoptionRate!$B$4:$B$13</c:f>
              <c:numCache>
                <c:formatCode>0.00</c:formatCode>
                <c:ptCount val="10"/>
                <c:pt idx="0">
                  <c:v>47.263225806451615</c:v>
                </c:pt>
                <c:pt idx="1">
                  <c:v>47.905714285714303</c:v>
                </c:pt>
                <c:pt idx="2">
                  <c:v>54.244210526315797</c:v>
                </c:pt>
                <c:pt idx="3">
                  <c:v>54.887894736842114</c:v>
                </c:pt>
                <c:pt idx="4">
                  <c:v>55.734117647058824</c:v>
                </c:pt>
                <c:pt idx="5">
                  <c:v>55.76428571428572</c:v>
                </c:pt>
                <c:pt idx="6">
                  <c:v>56.077647058823523</c:v>
                </c:pt>
                <c:pt idx="7">
                  <c:v>57.014444444444443</c:v>
                </c:pt>
                <c:pt idx="8">
                  <c:v>57.028235294117657</c:v>
                </c:pt>
                <c:pt idx="9">
                  <c:v>60.416296296296295</c:v>
                </c:pt>
              </c:numCache>
            </c:numRef>
          </c:val>
          <c:extLst>
            <c:ext xmlns:c16="http://schemas.microsoft.com/office/drawing/2014/chart" uri="{C3380CC4-5D6E-409C-BE32-E72D297353CC}">
              <c16:uniqueId val="{00000000-34B4-44CD-B17D-EC675BC1F385}"/>
            </c:ext>
          </c:extLst>
        </c:ser>
        <c:dLbls>
          <c:showLegendKey val="0"/>
          <c:showVal val="1"/>
          <c:showCatName val="0"/>
          <c:showSerName val="0"/>
          <c:showPercent val="0"/>
          <c:showBubbleSize val="0"/>
        </c:dLbls>
        <c:gapWidth val="150"/>
        <c:axId val="1164647952"/>
        <c:axId val="1164666192"/>
      </c:barChart>
      <c:catAx>
        <c:axId val="1164647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666192"/>
        <c:crosses val="autoZero"/>
        <c:auto val="1"/>
        <c:lblAlgn val="ctr"/>
        <c:lblOffset val="100"/>
        <c:noMultiLvlLbl val="0"/>
      </c:catAx>
      <c:valAx>
        <c:axId val="1164666192"/>
        <c:scaling>
          <c:orientation val="minMax"/>
          <c:min val="45"/>
        </c:scaling>
        <c:delete val="1"/>
        <c:axPos val="b"/>
        <c:numFmt formatCode="0.00" sourceLinked="1"/>
        <c:majorTickMark val="none"/>
        <c:minorTickMark val="none"/>
        <c:tickLblPos val="nextTo"/>
        <c:crossAx val="116464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[Impact of AI on Digital Media.xlsx]ConsumerTrust!ConsumerTrust</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Trust in AI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tint val="50000"/>
            </a:schemeClr>
          </a:solidFill>
          <a:ln w="19050">
            <a:solidFill>
              <a:schemeClr val="lt1"/>
            </a:solidFill>
          </a:ln>
          <a:effectLst/>
        </c:spPr>
      </c:pivotFmt>
      <c:pivotFmt>
        <c:idx val="2"/>
        <c:spPr>
          <a:solidFill>
            <a:schemeClr val="accent1">
              <a:tint val="50000"/>
            </a:schemeClr>
          </a:solidFill>
          <a:ln w="19050">
            <a:solidFill>
              <a:schemeClr val="lt1"/>
            </a:solidFill>
          </a:ln>
          <a:effectLst/>
        </c:spPr>
      </c:pivotFmt>
      <c:pivotFmt>
        <c:idx val="3"/>
        <c:spPr>
          <a:solidFill>
            <a:schemeClr val="accent1">
              <a:tint val="70000"/>
            </a:schemeClr>
          </a:solidFill>
          <a:ln w="19050">
            <a:solidFill>
              <a:schemeClr val="lt1"/>
            </a:solidFill>
          </a:ln>
          <a:effectLst/>
        </c:spPr>
      </c:pivotFmt>
      <c:pivotFmt>
        <c:idx val="4"/>
        <c:spPr>
          <a:solidFill>
            <a:schemeClr val="accent1">
              <a:tint val="90000"/>
            </a:schemeClr>
          </a:solidFill>
          <a:ln w="19050">
            <a:solidFill>
              <a:schemeClr val="lt1"/>
            </a:solidFill>
          </a:ln>
          <a:effectLst/>
        </c:spPr>
      </c:pivotFmt>
      <c:pivotFmt>
        <c:idx val="5"/>
        <c:spPr>
          <a:solidFill>
            <a:schemeClr val="accent1">
              <a:shade val="90000"/>
            </a:schemeClr>
          </a:solidFill>
          <a:ln w="19050">
            <a:solidFill>
              <a:schemeClr val="lt1"/>
            </a:solidFill>
          </a:ln>
          <a:effectLst/>
        </c:spPr>
      </c:pivotFmt>
      <c:pivotFmt>
        <c:idx val="6"/>
        <c:spPr>
          <a:solidFill>
            <a:schemeClr val="accent1">
              <a:shade val="65000"/>
            </a:schemeClr>
          </a:solidFill>
          <a:ln w="19050">
            <a:solidFill>
              <a:schemeClr val="lt1"/>
            </a:solidFill>
          </a:ln>
          <a:effectLst/>
        </c:spPr>
      </c:pivotFmt>
      <c:pivotFmt>
        <c:idx val="7"/>
        <c:spPr>
          <a:solidFill>
            <a:schemeClr val="accent1">
              <a:shade val="70000"/>
            </a:schemeClr>
          </a:solidFill>
          <a:ln w="19050">
            <a:solidFill>
              <a:schemeClr val="lt1"/>
            </a:solidFill>
          </a:ln>
          <a:effectLst/>
        </c:spPr>
      </c:pivotFmt>
    </c:pivotFmts>
    <c:plotArea>
      <c:layout>
        <c:manualLayout>
          <c:layoutTarget val="inner"/>
          <c:xMode val="edge"/>
          <c:yMode val="edge"/>
          <c:x val="0.18309464864926819"/>
          <c:y val="0.15721930592009331"/>
          <c:w val="0.63744999942692737"/>
          <c:h val="0.81097805482647989"/>
        </c:manualLayout>
      </c:layout>
      <c:pieChart>
        <c:varyColors val="1"/>
        <c:ser>
          <c:idx val="0"/>
          <c:order val="0"/>
          <c:tx>
            <c:strRef>
              <c:f>ConsumerTrust!$B$3</c:f>
              <c:strCache>
                <c:ptCount val="1"/>
                <c:pt idx="0">
                  <c:v>Total</c:v>
                </c:pt>
              </c:strCache>
            </c:strRef>
          </c:tx>
          <c:dPt>
            <c:idx val="0"/>
            <c:bubble3D val="0"/>
            <c:spPr>
              <a:solidFill>
                <a:schemeClr val="accent1">
                  <a:tint val="50000"/>
                </a:schemeClr>
              </a:solidFill>
              <a:ln w="19050">
                <a:solidFill>
                  <a:schemeClr val="lt1"/>
                </a:solidFill>
              </a:ln>
              <a:effectLst/>
            </c:spPr>
            <c:extLst>
              <c:ext xmlns:c16="http://schemas.microsoft.com/office/drawing/2014/chart" uri="{C3380CC4-5D6E-409C-BE32-E72D297353CC}">
                <c16:uniqueId val="{00000001-97B8-4345-8F89-4FF06B074A0B}"/>
              </c:ext>
            </c:extLst>
          </c:dPt>
          <c:dPt>
            <c:idx val="1"/>
            <c:bubble3D val="0"/>
            <c:spPr>
              <a:solidFill>
                <a:schemeClr val="accent1">
                  <a:tint val="50000"/>
                </a:schemeClr>
              </a:solidFill>
              <a:ln w="19050">
                <a:solidFill>
                  <a:schemeClr val="lt1"/>
                </a:solidFill>
              </a:ln>
              <a:effectLst/>
            </c:spPr>
            <c:extLst>
              <c:ext xmlns:c16="http://schemas.microsoft.com/office/drawing/2014/chart" uri="{C3380CC4-5D6E-409C-BE32-E72D297353CC}">
                <c16:uniqueId val="{00000003-97B8-4345-8F89-4FF06B074A0B}"/>
              </c:ext>
            </c:extLst>
          </c:dPt>
          <c:dPt>
            <c:idx val="2"/>
            <c:bubble3D val="0"/>
            <c:spPr>
              <a:solidFill>
                <a:schemeClr val="accent1">
                  <a:tint val="70000"/>
                </a:schemeClr>
              </a:solidFill>
              <a:ln w="19050">
                <a:solidFill>
                  <a:schemeClr val="lt1"/>
                </a:solidFill>
              </a:ln>
              <a:effectLst/>
            </c:spPr>
            <c:extLst>
              <c:ext xmlns:c16="http://schemas.microsoft.com/office/drawing/2014/chart" uri="{C3380CC4-5D6E-409C-BE32-E72D297353CC}">
                <c16:uniqueId val="{00000005-97B8-4345-8F89-4FF06B074A0B}"/>
              </c:ext>
            </c:extLst>
          </c:dPt>
          <c:dPt>
            <c:idx val="3"/>
            <c:bubble3D val="0"/>
            <c:spPr>
              <a:solidFill>
                <a:schemeClr val="accent1">
                  <a:tint val="90000"/>
                </a:schemeClr>
              </a:solidFill>
              <a:ln w="19050">
                <a:solidFill>
                  <a:schemeClr val="lt1"/>
                </a:solidFill>
              </a:ln>
              <a:effectLst/>
            </c:spPr>
            <c:extLst>
              <c:ext xmlns:c16="http://schemas.microsoft.com/office/drawing/2014/chart" uri="{C3380CC4-5D6E-409C-BE32-E72D297353CC}">
                <c16:uniqueId val="{00000007-97B8-4345-8F89-4FF06B074A0B}"/>
              </c:ext>
            </c:extLst>
          </c:dPt>
          <c:dPt>
            <c:idx val="4"/>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09-97B8-4345-8F89-4FF06B074A0B}"/>
              </c:ext>
            </c:extLst>
          </c:dPt>
          <c:dPt>
            <c:idx val="5"/>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0B-97B8-4345-8F89-4FF06B074A0B}"/>
              </c:ext>
            </c:extLst>
          </c:dPt>
          <c:dPt>
            <c:idx val="6"/>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D-D804-4C8D-AB68-E03F234825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ConsumerTrust!$A$4:$A$10</c:f>
              <c:strCache>
                <c:ptCount val="7"/>
                <c:pt idx="0">
                  <c:v>Bard</c:v>
                </c:pt>
                <c:pt idx="1">
                  <c:v>ChatGPT</c:v>
                </c:pt>
                <c:pt idx="2">
                  <c:v>Claude</c:v>
                </c:pt>
                <c:pt idx="3">
                  <c:v>DALL-E</c:v>
                </c:pt>
                <c:pt idx="4">
                  <c:v>Midjourney</c:v>
                </c:pt>
                <c:pt idx="5">
                  <c:v>Stable Diffusion</c:v>
                </c:pt>
                <c:pt idx="6">
                  <c:v>Synthesia</c:v>
                </c:pt>
              </c:strCache>
            </c:strRef>
          </c:cat>
          <c:val>
            <c:numRef>
              <c:f>ConsumerTrust!$B$4:$B$10</c:f>
              <c:numCache>
                <c:formatCode>0.00</c:formatCode>
                <c:ptCount val="7"/>
                <c:pt idx="0">
                  <c:v>64.315000000000012</c:v>
                </c:pt>
                <c:pt idx="1">
                  <c:v>59.235161290322587</c:v>
                </c:pt>
                <c:pt idx="2">
                  <c:v>60.146774193548374</c:v>
                </c:pt>
                <c:pt idx="3">
                  <c:v>55.689230769230775</c:v>
                </c:pt>
                <c:pt idx="4">
                  <c:v>62.785405405405406</c:v>
                </c:pt>
                <c:pt idx="5">
                  <c:v>52.448888888888874</c:v>
                </c:pt>
                <c:pt idx="6">
                  <c:v>60.563749999999992</c:v>
                </c:pt>
              </c:numCache>
            </c:numRef>
          </c:val>
          <c:extLst>
            <c:ext xmlns:c16="http://schemas.microsoft.com/office/drawing/2014/chart" uri="{C3380CC4-5D6E-409C-BE32-E72D297353CC}">
              <c16:uniqueId val="{00000000-2E01-4C8E-9C74-DA8E0D5BFDE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[Impact of AI on Digital Media.xlsx]RevenueIncrease!PivotTable2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Increased</a:t>
            </a:r>
            <a:r>
              <a:rPr lang="en-US" baseline="0"/>
              <a:t> Revenue by AI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RevenueIncrease!$B$3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RevenueIncrease!$A$4:$A$13</c:f>
              <c:strCache>
                <c:ptCount val="10"/>
                <c:pt idx="0">
                  <c:v>Gaming</c:v>
                </c:pt>
                <c:pt idx="1">
                  <c:v>Finance</c:v>
                </c:pt>
                <c:pt idx="2">
                  <c:v>Marketing</c:v>
                </c:pt>
                <c:pt idx="3">
                  <c:v>Retail</c:v>
                </c:pt>
                <c:pt idx="4">
                  <c:v>Healthcare</c:v>
                </c:pt>
                <c:pt idx="5">
                  <c:v>Education</c:v>
                </c:pt>
                <c:pt idx="6">
                  <c:v>Legal</c:v>
                </c:pt>
                <c:pt idx="7">
                  <c:v>Manufacturing</c:v>
                </c:pt>
                <c:pt idx="8">
                  <c:v>Media</c:v>
                </c:pt>
                <c:pt idx="9">
                  <c:v>Automotive</c:v>
                </c:pt>
              </c:strCache>
            </c:strRef>
          </c:cat>
          <c:val>
            <c:numRef>
              <c:f>RevenueIncrease!$B$4:$B$13</c:f>
              <c:numCache>
                <c:formatCode>0.00</c:formatCode>
                <c:ptCount val="10"/>
                <c:pt idx="0">
                  <c:v>33.234444444444442</c:v>
                </c:pt>
                <c:pt idx="1">
                  <c:v>36.257142857142853</c:v>
                </c:pt>
                <c:pt idx="2">
                  <c:v>36.813684210526304</c:v>
                </c:pt>
                <c:pt idx="3">
                  <c:v>37.679523809523808</c:v>
                </c:pt>
                <c:pt idx="4">
                  <c:v>38.586470588235287</c:v>
                </c:pt>
                <c:pt idx="5">
                  <c:v>39.543529411764709</c:v>
                </c:pt>
                <c:pt idx="6">
                  <c:v>41.824117647058827</c:v>
                </c:pt>
                <c:pt idx="7">
                  <c:v>42.807222222222222</c:v>
                </c:pt>
                <c:pt idx="8">
                  <c:v>43.719677419354831</c:v>
                </c:pt>
                <c:pt idx="9">
                  <c:v>46.48263157894737</c:v>
                </c:pt>
              </c:numCache>
            </c:numRef>
          </c:val>
          <c:extLst>
            <c:ext xmlns:c16="http://schemas.microsoft.com/office/drawing/2014/chart" uri="{C3380CC4-5D6E-409C-BE32-E72D297353CC}">
              <c16:uniqueId val="{00000000-71CD-4907-9F0F-7101E259918E}"/>
            </c:ext>
          </c:extLst>
        </c:ser>
        <c:dLbls>
          <c:dLblPos val="outEnd"/>
          <c:showLegendKey val="0"/>
          <c:showVal val="1"/>
          <c:showCatName val="0"/>
          <c:showSerName val="0"/>
          <c:showPercent val="0"/>
          <c:showBubbleSize val="0"/>
        </c:dLbls>
        <c:gapWidth val="182"/>
        <c:axId val="1212904576"/>
        <c:axId val="1212905056"/>
      </c:barChart>
      <c:catAx>
        <c:axId val="1212904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905056"/>
        <c:crosses val="autoZero"/>
        <c:auto val="1"/>
        <c:lblAlgn val="ctr"/>
        <c:lblOffset val="100"/>
        <c:noMultiLvlLbl val="0"/>
      </c:catAx>
      <c:valAx>
        <c:axId val="1212905056"/>
        <c:scaling>
          <c:orientation val="minMax"/>
          <c:min val="30"/>
        </c:scaling>
        <c:delete val="1"/>
        <c:axPos val="b"/>
        <c:numFmt formatCode="0.00" sourceLinked="1"/>
        <c:majorTickMark val="none"/>
        <c:minorTickMark val="none"/>
        <c:tickLblPos val="nextTo"/>
        <c:crossAx val="121290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[Impact of AI on Digital Media.xlsx]Jobloss!PivotTable8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Loss due to AI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Jobloss!$B$3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Jobloss!$A$4:$A$13</c:f>
              <c:strCache>
                <c:ptCount val="10"/>
                <c:pt idx="0">
                  <c:v>Automotive</c:v>
                </c:pt>
                <c:pt idx="1">
                  <c:v>Education</c:v>
                </c:pt>
                <c:pt idx="2">
                  <c:v>Finance</c:v>
                </c:pt>
                <c:pt idx="3">
                  <c:v>Gaming</c:v>
                </c:pt>
                <c:pt idx="4">
                  <c:v>Healthcare</c:v>
                </c:pt>
                <c:pt idx="5">
                  <c:v>Legal</c:v>
                </c:pt>
                <c:pt idx="6">
                  <c:v>Manufacturing</c:v>
                </c:pt>
                <c:pt idx="7">
                  <c:v>Marketing</c:v>
                </c:pt>
                <c:pt idx="8">
                  <c:v>Media</c:v>
                </c:pt>
                <c:pt idx="9">
                  <c:v>Retail</c:v>
                </c:pt>
              </c:strCache>
            </c:strRef>
          </c:cat>
          <c:val>
            <c:numRef>
              <c:f>Jobloss!$B$4:$B$13</c:f>
              <c:numCache>
                <c:formatCode>0.00</c:formatCode>
                <c:ptCount val="10"/>
                <c:pt idx="0">
                  <c:v>28.91684210526315</c:v>
                </c:pt>
                <c:pt idx="1">
                  <c:v>26.142352941176465</c:v>
                </c:pt>
                <c:pt idx="2">
                  <c:v>27.790000000000003</c:v>
                </c:pt>
                <c:pt idx="3">
                  <c:v>27.204074074074079</c:v>
                </c:pt>
                <c:pt idx="4">
                  <c:v>25.579411764705878</c:v>
                </c:pt>
                <c:pt idx="5">
                  <c:v>28.234117647058817</c:v>
                </c:pt>
                <c:pt idx="6">
                  <c:v>32.746111111111105</c:v>
                </c:pt>
                <c:pt idx="7">
                  <c:v>19.577894736842104</c:v>
                </c:pt>
                <c:pt idx="8">
                  <c:v>22.74903225806451</c:v>
                </c:pt>
                <c:pt idx="9">
                  <c:v>21.846666666666668</c:v>
                </c:pt>
              </c:numCache>
            </c:numRef>
          </c:val>
          <c:extLst>
            <c:ext xmlns:c16="http://schemas.microsoft.com/office/drawing/2014/chart" uri="{C3380CC4-5D6E-409C-BE32-E72D297353CC}">
              <c16:uniqueId val="{00000000-F100-4D61-9281-A53EEAE2C59F}"/>
            </c:ext>
          </c:extLst>
        </c:ser>
        <c:dLbls>
          <c:dLblPos val="outEnd"/>
          <c:showLegendKey val="0"/>
          <c:showVal val="1"/>
          <c:showCatName val="0"/>
          <c:showSerName val="0"/>
          <c:showPercent val="0"/>
          <c:showBubbleSize val="0"/>
        </c:dLbls>
        <c:gapWidth val="73"/>
        <c:axId val="2133646991"/>
        <c:axId val="2133630671"/>
      </c:barChart>
      <c:catAx>
        <c:axId val="213364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630671"/>
        <c:crosses val="autoZero"/>
        <c:auto val="1"/>
        <c:lblAlgn val="ctr"/>
        <c:lblOffset val="100"/>
        <c:noMultiLvlLbl val="0"/>
      </c:catAx>
      <c:valAx>
        <c:axId val="2133630671"/>
        <c:scaling>
          <c:orientation val="minMax"/>
          <c:min val="15"/>
        </c:scaling>
        <c:delete val="1"/>
        <c:axPos val="l"/>
        <c:numFmt formatCode="0.00" sourceLinked="1"/>
        <c:majorTickMark val="none"/>
        <c:minorTickMark val="none"/>
        <c:tickLblPos val="nextTo"/>
        <c:crossAx val="213364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Regulation Status</cx:v>
        </cx:txData>
      </cx:tx>
      <cx:txPr>
        <a:bodyPr spcFirstLastPara="1" vertOverflow="ellipsis" horzOverflow="overflow" wrap="square" lIns="0" tIns="0" rIns="0" bIns="0" anchor="ctr" anchorCtr="1"/>
        <a:lstStyle/>
        <a:p>
          <a:pPr algn="ctr" rtl="0">
            <a:defRPr sz="1800" b="1">
              <a:solidFill>
                <a:schemeClr val="bg1"/>
              </a:solidFill>
              <a:latin typeface="Century" panose="02040604050505020304" pitchFamily="18" charset="0"/>
              <a:ea typeface="Century" panose="02040604050505020304" pitchFamily="18" charset="0"/>
              <a:cs typeface="Century" panose="02040604050505020304" pitchFamily="18" charset="0"/>
            </a:defRPr>
          </a:pPr>
          <a:r>
            <a:rPr lang="en-US" sz="1800" b="1" i="0" u="none" strike="noStrike" baseline="0">
              <a:solidFill>
                <a:schemeClr val="bg1"/>
              </a:solidFill>
              <a:latin typeface="Century" panose="02040604050505020304" pitchFamily="18" charset="0"/>
            </a:rPr>
            <a:t>Regulation Status</a:t>
          </a:r>
        </a:p>
      </cx:txPr>
    </cx:title>
    <cx:plotArea>
      <cx:plotAreaRegion>
        <cx:series layoutId="funnel" uniqueId="{7727DA5B-953E-40F8-9EC2-CFF3531ADCE6}">
          <cx:tx>
            <cx:txData>
              <cx:f>_xlchart.v2.1</cx:f>
              <cx:v>Market Share </cx:v>
            </cx:txData>
          </cx:tx>
          <cx:spPr>
            <a:solidFill>
              <a:srgbClr val="FF9966"/>
            </a:solidFill>
            <a:effectLst>
              <a:glow rad="63500">
                <a:schemeClr val="accent2">
                  <a:lumMod val="75000"/>
                  <a:alpha val="40000"/>
                </a:schemeClr>
              </a:glow>
              <a:outerShdw blurRad="50800" dist="38100" dir="2700000" algn="tl" rotWithShape="0">
                <a:prstClr val="black">
                  <a:alpha val="40000"/>
                </a:prstClr>
              </a:outerShdw>
            </a:effectLst>
          </cx:spPr>
          <cx:dataPt idx="0">
            <cx:spPr>
              <a:solidFill>
                <a:srgbClr val="ED7D31">
                  <a:lumMod val="60000"/>
                  <a:lumOff val="40000"/>
                </a:srgbClr>
              </a:solidFill>
            </cx:spPr>
          </cx:dataPt>
          <cx:dataPt idx="2">
            <cx:spPr>
              <a:solidFill>
                <a:srgbClr val="FF7C3B"/>
              </a:solidFill>
            </cx:spPr>
          </cx:dataPt>
          <cx:dataLabels>
            <cx:txPr>
              <a:bodyPr spcFirstLastPara="1" vertOverflow="ellipsis" horzOverflow="overflow" wrap="square" lIns="0" tIns="0" rIns="0" bIns="0" anchor="ctr" anchorCtr="1"/>
              <a:lstStyle/>
              <a:p>
                <a:pPr algn="ctr" rtl="0">
                  <a:defRPr sz="1600">
                    <a:solidFill>
                      <a:schemeClr val="bg1"/>
                    </a:solidFill>
                    <a:latin typeface="SansSerif" panose="00000400000000000000" pitchFamily="2" charset="2"/>
                    <a:ea typeface="SansSerif" panose="00000400000000000000" pitchFamily="2" charset="2"/>
                    <a:cs typeface="SansSerif" panose="00000400000000000000" pitchFamily="2" charset="2"/>
                  </a:defRPr>
                </a:pPr>
                <a:endParaRPr lang="en-US" sz="1600" b="0" i="0" u="none" strike="noStrike" baseline="0">
                  <a:solidFill>
                    <a:schemeClr val="bg1"/>
                  </a:solidFill>
                  <a:latin typeface="SansSerif" panose="00000400000000000000" pitchFamily="2" charset="2"/>
                </a:endParaRPr>
              </a:p>
            </cx:txPr>
            <cx:visibility seriesName="0" categoryName="1" value="1"/>
            <cx:separator>, </cx:separator>
          </cx:dataLabels>
          <cx:dataId val="0"/>
        </cx:series>
      </cx:plotAreaRegion>
      <cx:axis id="0" hidden="1">
        <cx:valScaling/>
        <cx:tickLabels/>
      </cx:axis>
      <cx:axis id="1" hidden="1">
        <cx:catScaling gapWidth="0.11999999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Job Loss due to AI</cx:v>
        </cx:txData>
      </cx:tx>
      <cx:spPr>
        <a:noFill/>
      </cx:spPr>
      <cx:txPr>
        <a:bodyPr spcFirstLastPara="1" vertOverflow="ellipsis" horzOverflow="overflow" wrap="square" lIns="0" tIns="0" rIns="0" bIns="0" anchor="ctr" anchorCtr="1"/>
        <a:lstStyle/>
        <a:p>
          <a:pPr algn="ctr" rtl="0">
            <a:defRPr sz="1800" b="1">
              <a:solidFill>
                <a:schemeClr val="bg1">
                  <a:lumMod val="95000"/>
                </a:schemeClr>
              </a:solidFill>
              <a:latin typeface="Century" panose="02040604050505020304" pitchFamily="18" charset="0"/>
              <a:ea typeface="Century" panose="02040604050505020304" pitchFamily="18" charset="0"/>
              <a:cs typeface="Century" panose="02040604050505020304" pitchFamily="18" charset="0"/>
            </a:defRPr>
          </a:pPr>
          <a:r>
            <a:rPr lang="en-US" sz="1800" b="1" i="0" u="none" strike="noStrike" baseline="0">
              <a:solidFill>
                <a:schemeClr val="bg1">
                  <a:lumMod val="95000"/>
                </a:schemeClr>
              </a:solidFill>
              <a:latin typeface="Century" panose="02040604050505020304" pitchFamily="18" charset="0"/>
            </a:rPr>
            <a:t>Job Loss due to AI</a:t>
          </a:r>
        </a:p>
      </cx:txPr>
    </cx:title>
    <cx:plotArea>
      <cx:plotAreaRegion>
        <cx:series layoutId="treemap" uniqueId="{FAE16D3E-288A-4407-A521-56C6A42B28A8}">
          <cx:tx>
            <cx:txData>
              <cx:f>_xlchart.v1.4</cx:f>
              <cx:v>job loss</cx:v>
            </cx:txData>
          </cx:tx>
          <cx:dataLabels pos="inEnd">
            <cx:txPr>
              <a:bodyPr spcFirstLastPara="1" vertOverflow="ellipsis" horzOverflow="overflow" wrap="square" lIns="0" tIns="0" rIns="0" bIns="0" anchor="ctr" anchorCtr="1"/>
              <a:lstStyle/>
              <a:p>
                <a:pPr algn="ctr" rtl="0">
                  <a:defRPr sz="1600">
                    <a:latin typeface="SansSerif" panose="00000400000000000000" pitchFamily="2" charset="2"/>
                    <a:ea typeface="SansSerif" panose="00000400000000000000" pitchFamily="2" charset="2"/>
                    <a:cs typeface="SansSerif" panose="00000400000000000000" pitchFamily="2" charset="2"/>
                  </a:defRPr>
                </a:pPr>
                <a:endParaRPr lang="en-US" sz="1600" b="0" i="0" u="none" strike="noStrike" baseline="0">
                  <a:solidFill>
                    <a:sysClr val="window" lastClr="FFFFFF"/>
                  </a:solidFill>
                  <a:latin typeface="SansSerif" panose="00000400000000000000" pitchFamily="2" charset="2"/>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tx>
        <cx:txData>
          <cx:v>Regulation Status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Regulation Status</a:t>
          </a:r>
        </a:p>
      </cx:txPr>
    </cx:title>
    <cx:plotArea>
      <cx:plotAreaRegion>
        <cx:series layoutId="funnel" uniqueId="{7727DA5B-953E-40F8-9EC2-CFF3531ADCE6}">
          <cx:tx>
            <cx:txData>
              <cx:f>_xlchart.v2.7</cx:f>
              <cx:v>Market Share </cx:v>
            </cx:txData>
          </cx:tx>
          <cx:dataLabels>
            <cx:visibility seriesName="0" categoryName="1" value="1"/>
            <cx:separator>, </cx:separator>
          </cx:dataLabels>
          <cx:dataId val="0"/>
        </cx:series>
      </cx:plotAreaRegion>
      <cx:axis id="0" hidden="1">
        <cx:valScaling/>
        <cx:tickLabels/>
      </cx:axis>
      <cx:axis id="1" hidden="1">
        <cx:catScaling gapWidth="0.0599999987"/>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title pos="t" align="ctr" overlay="0">
      <cx:tx>
        <cx:txData>
          <cx:v>Job Loss due to AI</cx:v>
        </cx:txData>
      </cx:tx>
      <cx:spPr>
        <a:solidFill>
          <a:schemeClr val="bg1"/>
        </a:solidFill>
      </cx:spPr>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Job Loss due to AI</a:t>
          </a:r>
        </a:p>
      </cx:txPr>
    </cx:title>
    <cx:plotArea>
      <cx:plotAreaRegion>
        <cx:series layoutId="treemap" uniqueId="{FAE16D3E-288A-4407-A521-56C6A42B28A8}">
          <cx:tx>
            <cx:txData>
              <cx:f>_xlchart.v1.10</cx:f>
              <cx:v>job loss</cx:v>
            </cx:txData>
          </cx:tx>
          <cx:dataLabels pos="inEnd">
            <cx:visibility seriesName="0" categoryName="1" value="1"/>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microsoft.com/office/2014/relationships/chartEx" Target="../charts/chartEx2.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2" Type="http://schemas.microsoft.com/office/2014/relationships/chartEx" Target="../charts/chartEx4.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80211</xdr:colOff>
      <xdr:row>0</xdr:row>
      <xdr:rowOff>80211</xdr:rowOff>
    </xdr:from>
    <xdr:to>
      <xdr:col>32</xdr:col>
      <xdr:colOff>320842</xdr:colOff>
      <xdr:row>45</xdr:row>
      <xdr:rowOff>147053</xdr:rowOff>
    </xdr:to>
    <xdr:sp macro="" textlink="">
      <xdr:nvSpPr>
        <xdr:cNvPr id="5" name="Rectangle: Rounded Corners 4">
          <a:extLst>
            <a:ext uri="{FF2B5EF4-FFF2-40B4-BE49-F238E27FC236}">
              <a16:creationId xmlns:a16="http://schemas.microsoft.com/office/drawing/2014/main" id="{A5DA243D-8AFD-CBF6-22DF-BABD5CE9566C}"/>
            </a:ext>
          </a:extLst>
        </xdr:cNvPr>
        <xdr:cNvSpPr/>
      </xdr:nvSpPr>
      <xdr:spPr>
        <a:xfrm>
          <a:off x="80211" y="80211"/>
          <a:ext cx="19918947" cy="8488947"/>
        </a:xfrm>
        <a:prstGeom prst="roundRect">
          <a:avLst>
            <a:gd name="adj" fmla="val 3079"/>
          </a:avLst>
        </a:prstGeom>
        <a:solidFill>
          <a:schemeClr val="tx2"/>
        </a:solidFill>
        <a:ln>
          <a:solidFill>
            <a:schemeClr val="tx1">
              <a:lumMod val="95000"/>
              <a:lumOff val="5000"/>
            </a:schemeClr>
          </a:solidFill>
        </a:ln>
        <a:effectLst>
          <a:glow rad="63500">
            <a:schemeClr val="accent3">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175180</xdr:colOff>
      <xdr:row>0</xdr:row>
      <xdr:rowOff>185074</xdr:rowOff>
    </xdr:from>
    <xdr:to>
      <xdr:col>11</xdr:col>
      <xdr:colOff>0</xdr:colOff>
      <xdr:row>7</xdr:row>
      <xdr:rowOff>96009</xdr:rowOff>
    </xdr:to>
    <xdr:sp macro="" textlink="">
      <xdr:nvSpPr>
        <xdr:cNvPr id="6" name="Rectangle: Rounded Corners 5">
          <a:extLst>
            <a:ext uri="{FF2B5EF4-FFF2-40B4-BE49-F238E27FC236}">
              <a16:creationId xmlns:a16="http://schemas.microsoft.com/office/drawing/2014/main" id="{562A63BE-169B-1481-11D0-A655FC22C8BC}"/>
            </a:ext>
          </a:extLst>
        </xdr:cNvPr>
        <xdr:cNvSpPr/>
      </xdr:nvSpPr>
      <xdr:spPr>
        <a:xfrm>
          <a:off x="175180" y="185074"/>
          <a:ext cx="6589241" cy="1221040"/>
        </a:xfrm>
        <a:prstGeom prst="roundRect">
          <a:avLst/>
        </a:prstGeom>
        <a:solidFill>
          <a:schemeClr val="tx2">
            <a:lumMod val="75000"/>
          </a:schemeClr>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i="0" cap="none" spc="0">
              <a:ln>
                <a:noFill/>
              </a:ln>
              <a:solidFill>
                <a:schemeClr val="bg1"/>
              </a:solidFill>
              <a:effectLst>
                <a:outerShdw blurRad="50800" dist="38100" dir="2700000" algn="tl" rotWithShape="0">
                  <a:prstClr val="black">
                    <a:alpha val="40000"/>
                  </a:prstClr>
                </a:outerShdw>
              </a:effectLst>
              <a:latin typeface="Century" panose="02040604050505020304" pitchFamily="18" charset="0"/>
            </a:rPr>
            <a:t>Impact of AI in Industry</a:t>
          </a:r>
        </a:p>
      </xdr:txBody>
    </xdr:sp>
    <xdr:clientData/>
  </xdr:twoCellAnchor>
  <xdr:twoCellAnchor>
    <xdr:from>
      <xdr:col>0</xdr:col>
      <xdr:colOff>175178</xdr:colOff>
      <xdr:row>8</xdr:row>
      <xdr:rowOff>89586</xdr:rowOff>
    </xdr:from>
    <xdr:to>
      <xdr:col>3</xdr:col>
      <xdr:colOff>427790</xdr:colOff>
      <xdr:row>13</xdr:row>
      <xdr:rowOff>148963</xdr:rowOff>
    </xdr:to>
    <xdr:sp macro="" textlink="">
      <xdr:nvSpPr>
        <xdr:cNvPr id="7" name="Rectangle: Rounded Corners 6">
          <a:extLst>
            <a:ext uri="{FF2B5EF4-FFF2-40B4-BE49-F238E27FC236}">
              <a16:creationId xmlns:a16="http://schemas.microsoft.com/office/drawing/2014/main" id="{D371E28E-84FC-2971-A9BD-5B7A7A6C5268}"/>
            </a:ext>
          </a:extLst>
        </xdr:cNvPr>
        <xdr:cNvSpPr/>
      </xdr:nvSpPr>
      <xdr:spPr>
        <a:xfrm>
          <a:off x="175178" y="1586849"/>
          <a:ext cx="2097454" cy="995167"/>
        </a:xfrm>
        <a:prstGeom prst="roundRect">
          <a:avLst/>
        </a:prstGeom>
        <a:solidFill>
          <a:schemeClr val="tx2">
            <a:lumMod val="75000"/>
          </a:schemeClr>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p>
      </xdr:txBody>
    </xdr:sp>
    <xdr:clientData/>
  </xdr:twoCellAnchor>
  <xdr:twoCellAnchor>
    <xdr:from>
      <xdr:col>0</xdr:col>
      <xdr:colOff>185560</xdr:colOff>
      <xdr:row>16</xdr:row>
      <xdr:rowOff>1</xdr:rowOff>
    </xdr:from>
    <xdr:to>
      <xdr:col>8</xdr:col>
      <xdr:colOff>66842</xdr:colOff>
      <xdr:row>44</xdr:row>
      <xdr:rowOff>160421</xdr:rowOff>
    </xdr:to>
    <xdr:sp macro="" textlink="">
      <xdr:nvSpPr>
        <xdr:cNvPr id="11" name="Rectangle: Rounded Corners 10">
          <a:extLst>
            <a:ext uri="{FF2B5EF4-FFF2-40B4-BE49-F238E27FC236}">
              <a16:creationId xmlns:a16="http://schemas.microsoft.com/office/drawing/2014/main" id="{08A70C44-9F0F-40BD-806D-84D2B08CC1CE}"/>
            </a:ext>
          </a:extLst>
        </xdr:cNvPr>
        <xdr:cNvSpPr/>
      </xdr:nvSpPr>
      <xdr:spPr>
        <a:xfrm>
          <a:off x="185560" y="2994527"/>
          <a:ext cx="4800861" cy="5400841"/>
        </a:xfrm>
        <a:prstGeom prst="roundRect">
          <a:avLst>
            <a:gd name="adj" fmla="val 5853"/>
          </a:avLst>
        </a:prstGeom>
        <a:solidFill>
          <a:schemeClr val="tx2">
            <a:lumMod val="75000"/>
          </a:schemeClr>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524492</xdr:colOff>
      <xdr:row>20</xdr:row>
      <xdr:rowOff>0</xdr:rowOff>
    </xdr:from>
    <xdr:to>
      <xdr:col>32</xdr:col>
      <xdr:colOff>148441</xdr:colOff>
      <xdr:row>44</xdr:row>
      <xdr:rowOff>173790</xdr:rowOff>
    </xdr:to>
    <xdr:sp macro="" textlink="">
      <xdr:nvSpPr>
        <xdr:cNvPr id="12" name="Rectangle: Rounded Corners 11">
          <a:extLst>
            <a:ext uri="{FF2B5EF4-FFF2-40B4-BE49-F238E27FC236}">
              <a16:creationId xmlns:a16="http://schemas.microsoft.com/office/drawing/2014/main" id="{433B62F9-5E07-4682-B00F-75755214EE57}"/>
            </a:ext>
          </a:extLst>
        </xdr:cNvPr>
        <xdr:cNvSpPr/>
      </xdr:nvSpPr>
      <xdr:spPr>
        <a:xfrm>
          <a:off x="15283229" y="3743158"/>
          <a:ext cx="4543528" cy="4665579"/>
        </a:xfrm>
        <a:prstGeom prst="roundRect">
          <a:avLst>
            <a:gd name="adj" fmla="val 9173"/>
          </a:avLst>
        </a:prstGeom>
        <a:solidFill>
          <a:schemeClr val="tx2">
            <a:lumMod val="75000"/>
          </a:schemeClr>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213896</xdr:colOff>
      <xdr:row>1</xdr:row>
      <xdr:rowOff>36530</xdr:rowOff>
    </xdr:from>
    <xdr:to>
      <xdr:col>20</xdr:col>
      <xdr:colOff>120315</xdr:colOff>
      <xdr:row>18</xdr:row>
      <xdr:rowOff>147053</xdr:rowOff>
    </xdr:to>
    <xdr:sp macro="" textlink="">
      <xdr:nvSpPr>
        <xdr:cNvPr id="13" name="Rectangle: Rounded Corners 12">
          <a:extLst>
            <a:ext uri="{FF2B5EF4-FFF2-40B4-BE49-F238E27FC236}">
              <a16:creationId xmlns:a16="http://schemas.microsoft.com/office/drawing/2014/main" id="{DD0DAA77-B2A1-469E-A355-7585C18969AB}"/>
            </a:ext>
          </a:extLst>
        </xdr:cNvPr>
        <xdr:cNvSpPr/>
      </xdr:nvSpPr>
      <xdr:spPr>
        <a:xfrm>
          <a:off x="6978317" y="223688"/>
          <a:ext cx="5440945" cy="3292207"/>
        </a:xfrm>
        <a:prstGeom prst="roundRect">
          <a:avLst>
            <a:gd name="adj" fmla="val 9173"/>
          </a:avLst>
        </a:prstGeom>
        <a:solidFill>
          <a:schemeClr val="tx2">
            <a:lumMod val="75000"/>
          </a:schemeClr>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197679</xdr:colOff>
      <xdr:row>1</xdr:row>
      <xdr:rowOff>86146</xdr:rowOff>
    </xdr:from>
    <xdr:to>
      <xdr:col>32</xdr:col>
      <xdr:colOff>106947</xdr:colOff>
      <xdr:row>18</xdr:row>
      <xdr:rowOff>133684</xdr:rowOff>
    </xdr:to>
    <xdr:sp macro="" textlink="">
      <xdr:nvSpPr>
        <xdr:cNvPr id="15" name="Rectangle: Rounded Corners 14">
          <a:extLst>
            <a:ext uri="{FF2B5EF4-FFF2-40B4-BE49-F238E27FC236}">
              <a16:creationId xmlns:a16="http://schemas.microsoft.com/office/drawing/2014/main" id="{40D523C5-F9ED-49B2-A3D7-25AB8764C6B4}"/>
            </a:ext>
          </a:extLst>
        </xdr:cNvPr>
        <xdr:cNvSpPr/>
      </xdr:nvSpPr>
      <xdr:spPr>
        <a:xfrm>
          <a:off x="16186311" y="273304"/>
          <a:ext cx="3598952" cy="3229222"/>
        </a:xfrm>
        <a:prstGeom prst="roundRect">
          <a:avLst>
            <a:gd name="adj" fmla="val 9576"/>
          </a:avLst>
        </a:prstGeom>
        <a:solidFill>
          <a:schemeClr val="tx2">
            <a:lumMod val="75000"/>
          </a:schemeClr>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296607</xdr:colOff>
      <xdr:row>1</xdr:row>
      <xdr:rowOff>91493</xdr:rowOff>
    </xdr:from>
    <xdr:to>
      <xdr:col>26</xdr:col>
      <xdr:colOff>31389</xdr:colOff>
      <xdr:row>18</xdr:row>
      <xdr:rowOff>160421</xdr:rowOff>
    </xdr:to>
    <xdr:sp macro="" textlink="">
      <xdr:nvSpPr>
        <xdr:cNvPr id="24" name="Rectangle: Rounded Corners 23">
          <a:extLst>
            <a:ext uri="{FF2B5EF4-FFF2-40B4-BE49-F238E27FC236}">
              <a16:creationId xmlns:a16="http://schemas.microsoft.com/office/drawing/2014/main" id="{A0569FE8-1970-4B21-B5F7-F15621283071}"/>
            </a:ext>
          </a:extLst>
        </xdr:cNvPr>
        <xdr:cNvSpPr/>
      </xdr:nvSpPr>
      <xdr:spPr>
        <a:xfrm>
          <a:off x="12595554" y="278651"/>
          <a:ext cx="3424467" cy="3250612"/>
        </a:xfrm>
        <a:prstGeom prst="roundRect">
          <a:avLst>
            <a:gd name="adj" fmla="val 9576"/>
          </a:avLst>
        </a:prstGeom>
        <a:solidFill>
          <a:schemeClr val="tx2">
            <a:lumMod val="75000"/>
          </a:schemeClr>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608314</xdr:colOff>
      <xdr:row>8</xdr:row>
      <xdr:rowOff>121670</xdr:rowOff>
    </xdr:from>
    <xdr:to>
      <xdr:col>7</xdr:col>
      <xdr:colOff>245978</xdr:colOff>
      <xdr:row>13</xdr:row>
      <xdr:rowOff>181047</xdr:rowOff>
    </xdr:to>
    <xdr:sp macro="" textlink="">
      <xdr:nvSpPr>
        <xdr:cNvPr id="25" name="Rectangle: Rounded Corners 24">
          <a:extLst>
            <a:ext uri="{FF2B5EF4-FFF2-40B4-BE49-F238E27FC236}">
              <a16:creationId xmlns:a16="http://schemas.microsoft.com/office/drawing/2014/main" id="{8F5065AF-887F-47A7-A021-AA69AE31CAE9}"/>
            </a:ext>
          </a:extLst>
        </xdr:cNvPr>
        <xdr:cNvSpPr/>
      </xdr:nvSpPr>
      <xdr:spPr>
        <a:xfrm>
          <a:off x="2453156" y="1618933"/>
          <a:ext cx="2097454" cy="995167"/>
        </a:xfrm>
        <a:prstGeom prst="roundRect">
          <a:avLst/>
        </a:prstGeom>
        <a:solidFill>
          <a:schemeClr val="tx2">
            <a:lumMod val="75000"/>
          </a:schemeClr>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413134</xdr:colOff>
      <xdr:row>8</xdr:row>
      <xdr:rowOff>127018</xdr:rowOff>
    </xdr:from>
    <xdr:to>
      <xdr:col>11</xdr:col>
      <xdr:colOff>50799</xdr:colOff>
      <xdr:row>13</xdr:row>
      <xdr:rowOff>186395</xdr:rowOff>
    </xdr:to>
    <xdr:sp macro="" textlink="">
      <xdr:nvSpPr>
        <xdr:cNvPr id="26" name="Rectangle: Rounded Corners 25">
          <a:extLst>
            <a:ext uri="{FF2B5EF4-FFF2-40B4-BE49-F238E27FC236}">
              <a16:creationId xmlns:a16="http://schemas.microsoft.com/office/drawing/2014/main" id="{BC1C4AD9-DFB2-4359-BF4A-9B5BA33E9527}"/>
            </a:ext>
          </a:extLst>
        </xdr:cNvPr>
        <xdr:cNvSpPr/>
      </xdr:nvSpPr>
      <xdr:spPr>
        <a:xfrm>
          <a:off x="4717766" y="1624281"/>
          <a:ext cx="2097454" cy="995167"/>
        </a:xfrm>
        <a:prstGeom prst="roundRect">
          <a:avLst/>
        </a:prstGeom>
        <a:solidFill>
          <a:schemeClr val="tx2">
            <a:lumMod val="75000"/>
          </a:schemeClr>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21840</xdr:colOff>
      <xdr:row>20</xdr:row>
      <xdr:rowOff>26737</xdr:rowOff>
    </xdr:from>
    <xdr:to>
      <xdr:col>24</xdr:col>
      <xdr:colOff>260736</xdr:colOff>
      <xdr:row>44</xdr:row>
      <xdr:rowOff>116251</xdr:rowOff>
    </xdr:to>
    <xdr:sp macro="" textlink="">
      <xdr:nvSpPr>
        <xdr:cNvPr id="27" name="Rectangle: Rounded Corners 26">
          <a:extLst>
            <a:ext uri="{FF2B5EF4-FFF2-40B4-BE49-F238E27FC236}">
              <a16:creationId xmlns:a16="http://schemas.microsoft.com/office/drawing/2014/main" id="{F54B1ED3-1BE0-45BE-AA91-E65A948C4385}"/>
            </a:ext>
          </a:extLst>
        </xdr:cNvPr>
        <xdr:cNvSpPr/>
      </xdr:nvSpPr>
      <xdr:spPr>
        <a:xfrm>
          <a:off x="10475945" y="3769895"/>
          <a:ext cx="4543528" cy="4581303"/>
        </a:xfrm>
        <a:prstGeom prst="roundRect">
          <a:avLst>
            <a:gd name="adj" fmla="val 9173"/>
          </a:avLst>
        </a:prstGeom>
        <a:solidFill>
          <a:schemeClr val="tx2">
            <a:lumMod val="75000"/>
          </a:schemeClr>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294556</xdr:colOff>
      <xdr:row>19</xdr:row>
      <xdr:rowOff>133684</xdr:rowOff>
    </xdr:from>
    <xdr:to>
      <xdr:col>16</xdr:col>
      <xdr:colOff>387682</xdr:colOff>
      <xdr:row>44</xdr:row>
      <xdr:rowOff>175073</xdr:rowOff>
    </xdr:to>
    <xdr:sp macro="" textlink="">
      <xdr:nvSpPr>
        <xdr:cNvPr id="28" name="Rectangle: Rounded Corners 27">
          <a:extLst>
            <a:ext uri="{FF2B5EF4-FFF2-40B4-BE49-F238E27FC236}">
              <a16:creationId xmlns:a16="http://schemas.microsoft.com/office/drawing/2014/main" id="{46ED2856-45B8-45C6-A939-FF3CEDAB2EF0}"/>
            </a:ext>
          </a:extLst>
        </xdr:cNvPr>
        <xdr:cNvSpPr/>
      </xdr:nvSpPr>
      <xdr:spPr>
        <a:xfrm>
          <a:off x="5214135" y="3689684"/>
          <a:ext cx="5012705" cy="4720336"/>
        </a:xfrm>
        <a:prstGeom prst="roundRect">
          <a:avLst>
            <a:gd name="adj" fmla="val 9173"/>
          </a:avLst>
        </a:prstGeom>
        <a:solidFill>
          <a:schemeClr val="tx2">
            <a:lumMod val="75000"/>
          </a:schemeClr>
        </a:solidFill>
        <a:ln>
          <a:solidFill>
            <a:schemeClr val="tx1">
              <a:lumMod val="75000"/>
              <a:lumOff val="2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188752</xdr:colOff>
      <xdr:row>9</xdr:row>
      <xdr:rowOff>17412</xdr:rowOff>
    </xdr:from>
    <xdr:to>
      <xdr:col>3</xdr:col>
      <xdr:colOff>419449</xdr:colOff>
      <xdr:row>11</xdr:row>
      <xdr:rowOff>28699</xdr:rowOff>
    </xdr:to>
    <xdr:sp macro="" textlink="">
      <xdr:nvSpPr>
        <xdr:cNvPr id="2" name="TextBox 1">
          <a:extLst>
            <a:ext uri="{FF2B5EF4-FFF2-40B4-BE49-F238E27FC236}">
              <a16:creationId xmlns:a16="http://schemas.microsoft.com/office/drawing/2014/main" id="{D629833C-9C8F-CA1A-665A-C30E8CC980D1}"/>
            </a:ext>
          </a:extLst>
        </xdr:cNvPr>
        <xdr:cNvSpPr txBox="1"/>
      </xdr:nvSpPr>
      <xdr:spPr>
        <a:xfrm>
          <a:off x="188752" y="1609448"/>
          <a:ext cx="2067661" cy="365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latin typeface="Century" panose="02040604050505020304" pitchFamily="18" charset="0"/>
            </a:rPr>
            <a:t>AI Adoption Rate</a:t>
          </a:r>
        </a:p>
      </xdr:txBody>
    </xdr:sp>
    <xdr:clientData/>
  </xdr:twoCellAnchor>
  <xdr:twoCellAnchor>
    <xdr:from>
      <xdr:col>4</xdr:col>
      <xdr:colOff>12095</xdr:colOff>
      <xdr:row>9</xdr:row>
      <xdr:rowOff>51751</xdr:rowOff>
    </xdr:from>
    <xdr:to>
      <xdr:col>7</xdr:col>
      <xdr:colOff>249783</xdr:colOff>
      <xdr:row>11</xdr:row>
      <xdr:rowOff>21333</xdr:rowOff>
    </xdr:to>
    <xdr:sp macro="" textlink="">
      <xdr:nvSpPr>
        <xdr:cNvPr id="3" name="TextBox 2">
          <a:extLst>
            <a:ext uri="{FF2B5EF4-FFF2-40B4-BE49-F238E27FC236}">
              <a16:creationId xmlns:a16="http://schemas.microsoft.com/office/drawing/2014/main" id="{FC808D76-F2D1-AA21-078D-AF4B085CE227}"/>
            </a:ext>
          </a:extLst>
        </xdr:cNvPr>
        <xdr:cNvSpPr txBox="1"/>
      </xdr:nvSpPr>
      <xdr:spPr>
        <a:xfrm>
          <a:off x="2461381" y="1643787"/>
          <a:ext cx="2074652" cy="323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bg1"/>
              </a:solidFill>
              <a:latin typeface="Century" panose="02040604050505020304" pitchFamily="18" charset="0"/>
            </a:rPr>
            <a:t>Increased Revenue</a:t>
          </a:r>
        </a:p>
      </xdr:txBody>
    </xdr:sp>
    <xdr:clientData/>
  </xdr:twoCellAnchor>
  <xdr:twoCellAnchor>
    <xdr:from>
      <xdr:col>7</xdr:col>
      <xdr:colOff>419449</xdr:colOff>
      <xdr:row>8</xdr:row>
      <xdr:rowOff>118843</xdr:rowOff>
    </xdr:from>
    <xdr:to>
      <xdr:col>11</xdr:col>
      <xdr:colOff>34954</xdr:colOff>
      <xdr:row>12</xdr:row>
      <xdr:rowOff>95250</xdr:rowOff>
    </xdr:to>
    <xdr:sp macro="" textlink="">
      <xdr:nvSpPr>
        <xdr:cNvPr id="4" name="TextBox 3">
          <a:extLst>
            <a:ext uri="{FF2B5EF4-FFF2-40B4-BE49-F238E27FC236}">
              <a16:creationId xmlns:a16="http://schemas.microsoft.com/office/drawing/2014/main" id="{B0A30AF8-640E-3612-38E6-A0C50DD1336D}"/>
            </a:ext>
          </a:extLst>
        </xdr:cNvPr>
        <xdr:cNvSpPr txBox="1"/>
      </xdr:nvSpPr>
      <xdr:spPr>
        <a:xfrm>
          <a:off x="4705699" y="1533986"/>
          <a:ext cx="2064791" cy="683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bg1"/>
              </a:solidFill>
              <a:latin typeface="Century" panose="02040604050505020304" pitchFamily="18" charset="0"/>
            </a:rPr>
            <a:t>Human</a:t>
          </a:r>
          <a:r>
            <a:rPr lang="en-IN" sz="1600" baseline="0">
              <a:solidFill>
                <a:schemeClr val="bg1"/>
              </a:solidFill>
              <a:latin typeface="Century" panose="02040604050505020304" pitchFamily="18" charset="0"/>
            </a:rPr>
            <a:t>-AI Collaboration</a:t>
          </a:r>
          <a:endParaRPr lang="en-IN" sz="1600">
            <a:solidFill>
              <a:schemeClr val="bg1"/>
            </a:solidFill>
            <a:latin typeface="Century" panose="02040604050505020304" pitchFamily="18" charset="0"/>
          </a:endParaRPr>
        </a:p>
      </xdr:txBody>
    </xdr:sp>
    <xdr:clientData/>
  </xdr:twoCellAnchor>
  <xdr:twoCellAnchor>
    <xdr:from>
      <xdr:col>1</xdr:col>
      <xdr:colOff>8871</xdr:colOff>
      <xdr:row>11</xdr:row>
      <xdr:rowOff>128186</xdr:rowOff>
    </xdr:from>
    <xdr:to>
      <xdr:col>2</xdr:col>
      <xdr:colOff>281748</xdr:colOff>
      <xdr:row>13</xdr:row>
      <xdr:rowOff>121195</xdr:rowOff>
    </xdr:to>
    <xdr:sp macro="" textlink="KPI!A8">
      <xdr:nvSpPr>
        <xdr:cNvPr id="9" name="TextBox 8">
          <a:extLst>
            <a:ext uri="{FF2B5EF4-FFF2-40B4-BE49-F238E27FC236}">
              <a16:creationId xmlns:a16="http://schemas.microsoft.com/office/drawing/2014/main" id="{1211D198-8A55-2771-2E85-3507274A0F3E}"/>
            </a:ext>
          </a:extLst>
        </xdr:cNvPr>
        <xdr:cNvSpPr txBox="1"/>
      </xdr:nvSpPr>
      <xdr:spPr>
        <a:xfrm>
          <a:off x="617190" y="2170858"/>
          <a:ext cx="881197" cy="364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4DF40C-0214-4987-A63A-D55191A8243E}" type="TxLink">
            <a:rPr lang="en-US" sz="2200" b="1" i="0" u="none" strike="noStrike">
              <a:solidFill>
                <a:schemeClr val="accent2">
                  <a:lumMod val="60000"/>
                  <a:lumOff val="40000"/>
                </a:schemeClr>
              </a:solidFill>
              <a:latin typeface="SansSerif" panose="00000400000000000000" pitchFamily="2" charset="2"/>
              <a:ea typeface="Calibri"/>
              <a:cs typeface="Calibri"/>
            </a:rPr>
            <a:pPr algn="ctr"/>
            <a:t>54.27</a:t>
          </a:fld>
          <a:r>
            <a:rPr lang="en-US" sz="1100" b="1" i="0" u="none" strike="noStrike">
              <a:solidFill>
                <a:srgbClr val="000000"/>
              </a:solidFill>
              <a:latin typeface="SansSerif" panose="00000400000000000000" pitchFamily="2" charset="2"/>
              <a:ea typeface="Calibri"/>
              <a:cs typeface="Calibri"/>
            </a:rPr>
            <a:t> </a:t>
          </a:r>
          <a:endParaRPr lang="en-IN" sz="1100">
            <a:latin typeface="SansSerif" panose="00000400000000000000" pitchFamily="2" charset="2"/>
          </a:endParaRPr>
        </a:p>
      </xdr:txBody>
    </xdr:sp>
    <xdr:clientData/>
  </xdr:twoCellAnchor>
  <xdr:twoCellAnchor>
    <xdr:from>
      <xdr:col>4</xdr:col>
      <xdr:colOff>418720</xdr:colOff>
      <xdr:row>11</xdr:row>
      <xdr:rowOff>119153</xdr:rowOff>
    </xdr:from>
    <xdr:to>
      <xdr:col>6</xdr:col>
      <xdr:colOff>105357</xdr:colOff>
      <xdr:row>13</xdr:row>
      <xdr:rowOff>140126</xdr:rowOff>
    </xdr:to>
    <xdr:sp macro="" textlink="KPI!B8">
      <xdr:nvSpPr>
        <xdr:cNvPr id="10" name="TextBox 9">
          <a:extLst>
            <a:ext uri="{FF2B5EF4-FFF2-40B4-BE49-F238E27FC236}">
              <a16:creationId xmlns:a16="http://schemas.microsoft.com/office/drawing/2014/main" id="{C320763E-7FA5-0970-49B6-E2FB5791F857}"/>
            </a:ext>
          </a:extLst>
        </xdr:cNvPr>
        <xdr:cNvSpPr txBox="1"/>
      </xdr:nvSpPr>
      <xdr:spPr>
        <a:xfrm>
          <a:off x="2851997" y="2161825"/>
          <a:ext cx="903276" cy="392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514D4A7-44AC-4BBF-B0AA-198C5605FA8C}" type="TxLink">
            <a:rPr lang="en-US" sz="2200" b="1" i="0" u="none" strike="noStrike">
              <a:solidFill>
                <a:schemeClr val="accent2">
                  <a:lumMod val="60000"/>
                  <a:lumOff val="40000"/>
                </a:schemeClr>
              </a:solidFill>
              <a:latin typeface="SansSerif" panose="00000400000000000000" pitchFamily="2" charset="2"/>
              <a:ea typeface="Calibri"/>
              <a:cs typeface="Calibri"/>
            </a:rPr>
            <a:pPr algn="ctr"/>
            <a:t>39.72</a:t>
          </a:fld>
          <a:endParaRPr lang="en-IN" sz="2200" b="1">
            <a:solidFill>
              <a:schemeClr val="accent2">
                <a:lumMod val="60000"/>
                <a:lumOff val="40000"/>
              </a:schemeClr>
            </a:solidFill>
            <a:latin typeface="SansSerif" panose="00000400000000000000" pitchFamily="2" charset="2"/>
          </a:endParaRPr>
        </a:p>
      </xdr:txBody>
    </xdr:sp>
    <xdr:clientData/>
  </xdr:twoCellAnchor>
  <xdr:twoCellAnchor>
    <xdr:from>
      <xdr:col>8</xdr:col>
      <xdr:colOff>279858</xdr:colOff>
      <xdr:row>11</xdr:row>
      <xdr:rowOff>178175</xdr:rowOff>
    </xdr:from>
    <xdr:to>
      <xdr:col>9</xdr:col>
      <xdr:colOff>583323</xdr:colOff>
      <xdr:row>13</xdr:row>
      <xdr:rowOff>125738</xdr:rowOff>
    </xdr:to>
    <xdr:sp macro="" textlink="KPI!C8">
      <xdr:nvSpPr>
        <xdr:cNvPr id="14" name="TextBox 13">
          <a:extLst>
            <a:ext uri="{FF2B5EF4-FFF2-40B4-BE49-F238E27FC236}">
              <a16:creationId xmlns:a16="http://schemas.microsoft.com/office/drawing/2014/main" id="{BC528DEC-AA62-797B-6A98-98D83D092022}"/>
            </a:ext>
          </a:extLst>
        </xdr:cNvPr>
        <xdr:cNvSpPr txBox="1"/>
      </xdr:nvSpPr>
      <xdr:spPr>
        <a:xfrm>
          <a:off x="5156658" y="2201416"/>
          <a:ext cx="913065" cy="31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1DC71B-0EC2-40F3-B9DA-51FC65F0F6DF}" type="TxLink">
            <a:rPr lang="en-US" sz="2200" b="1" i="0" u="none" strike="noStrike">
              <a:solidFill>
                <a:schemeClr val="accent2">
                  <a:lumMod val="60000"/>
                  <a:lumOff val="40000"/>
                </a:schemeClr>
              </a:solidFill>
              <a:latin typeface="SansSerif" panose="00000400000000000000" pitchFamily="2" charset="2"/>
              <a:ea typeface="Calibri"/>
              <a:cs typeface="Calibri"/>
            </a:rPr>
            <a:pPr algn="ctr"/>
            <a:t>54.10</a:t>
          </a:fld>
          <a:endParaRPr lang="en-IN" sz="2200" b="1">
            <a:solidFill>
              <a:schemeClr val="accent2">
                <a:lumMod val="60000"/>
                <a:lumOff val="40000"/>
              </a:schemeClr>
            </a:solidFill>
            <a:latin typeface="SansSerif" panose="00000400000000000000" pitchFamily="2" charset="2"/>
          </a:endParaRPr>
        </a:p>
      </xdr:txBody>
    </xdr:sp>
    <xdr:clientData/>
  </xdr:twoCellAnchor>
  <xdr:twoCellAnchor>
    <xdr:from>
      <xdr:col>17</xdr:col>
      <xdr:colOff>33496</xdr:colOff>
      <xdr:row>20</xdr:row>
      <xdr:rowOff>31782</xdr:rowOff>
    </xdr:from>
    <xdr:to>
      <xdr:col>24</xdr:col>
      <xdr:colOff>284704</xdr:colOff>
      <xdr:row>44</xdr:row>
      <xdr:rowOff>92110</xdr:rowOff>
    </xdr:to>
    <xdr:graphicFrame macro="">
      <xdr:nvGraphicFramePr>
        <xdr:cNvPr id="16" name="Chart 15">
          <a:extLst>
            <a:ext uri="{FF2B5EF4-FFF2-40B4-BE49-F238E27FC236}">
              <a16:creationId xmlns:a16="http://schemas.microsoft.com/office/drawing/2014/main" id="{57802101-71A2-47C8-9057-2F525707B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537883</xdr:colOff>
      <xdr:row>20</xdr:row>
      <xdr:rowOff>74268</xdr:rowOff>
    </xdr:from>
    <xdr:to>
      <xdr:col>32</xdr:col>
      <xdr:colOff>170329</xdr:colOff>
      <xdr:row>44</xdr:row>
      <xdr:rowOff>161364</xdr:rowOff>
    </xdr:to>
    <xdr:graphicFrame macro="">
      <xdr:nvGraphicFramePr>
        <xdr:cNvPr id="17" name="RevenueIncrease">
          <a:extLst>
            <a:ext uri="{FF2B5EF4-FFF2-40B4-BE49-F238E27FC236}">
              <a16:creationId xmlns:a16="http://schemas.microsoft.com/office/drawing/2014/main" id="{9107F655-A452-420C-88B9-9A8DA737E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259773</xdr:colOff>
      <xdr:row>16</xdr:row>
      <xdr:rowOff>43542</xdr:rowOff>
    </xdr:from>
    <xdr:to>
      <xdr:col>7</xdr:col>
      <xdr:colOff>597478</xdr:colOff>
      <xdr:row>44</xdr:row>
      <xdr:rowOff>136071</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A98D0710-AEA9-4BF8-A8CC-0333690A53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59773" y="2969622"/>
              <a:ext cx="4604905" cy="52131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247650</xdr:colOff>
      <xdr:row>1</xdr:row>
      <xdr:rowOff>33187</xdr:rowOff>
    </xdr:from>
    <xdr:to>
      <xdr:col>20</xdr:col>
      <xdr:colOff>95249</xdr:colOff>
      <xdr:row>18</xdr:row>
      <xdr:rowOff>85725</xdr:rowOff>
    </xdr:to>
    <xdr:graphicFrame macro="">
      <xdr:nvGraphicFramePr>
        <xdr:cNvPr id="20" name="Chart 19">
          <a:extLst>
            <a:ext uri="{FF2B5EF4-FFF2-40B4-BE49-F238E27FC236}">
              <a16:creationId xmlns:a16="http://schemas.microsoft.com/office/drawing/2014/main" id="{BB8DA830-13A3-4FFD-A501-6B4AF3E7C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452438</xdr:colOff>
      <xdr:row>2</xdr:row>
      <xdr:rowOff>0</xdr:rowOff>
    </xdr:from>
    <xdr:to>
      <xdr:col>25</xdr:col>
      <xdr:colOff>494109</xdr:colOff>
      <xdr:row>18</xdr:row>
      <xdr:rowOff>71250</xdr:rowOff>
    </xdr:to>
    <mc:AlternateContent xmlns:mc="http://schemas.openxmlformats.org/markup-compatibility/2006" xmlns:a14="http://schemas.microsoft.com/office/drawing/2010/main">
      <mc:Choice Requires="a14">
        <xdr:graphicFrame macro="">
          <xdr:nvGraphicFramePr>
            <xdr:cNvPr id="21" name="Country 1">
              <a:extLst>
                <a:ext uri="{FF2B5EF4-FFF2-40B4-BE49-F238E27FC236}">
                  <a16:creationId xmlns:a16="http://schemas.microsoft.com/office/drawing/2014/main" id="{6F95D85E-36D7-40E4-9ECB-2216BC405CC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2690620" y="369455"/>
              <a:ext cx="3101216" cy="3026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369092</xdr:colOff>
      <xdr:row>1</xdr:row>
      <xdr:rowOff>178595</xdr:rowOff>
    </xdr:from>
    <xdr:to>
      <xdr:col>31</xdr:col>
      <xdr:colOff>559594</xdr:colOff>
      <xdr:row>18</xdr:row>
      <xdr:rowOff>29766</xdr:rowOff>
    </xdr:to>
    <mc:AlternateContent xmlns:mc="http://schemas.openxmlformats.org/markup-compatibility/2006" xmlns:a14="http://schemas.microsoft.com/office/drawing/2010/main">
      <mc:Choice Requires="a14">
        <xdr:graphicFrame macro="">
          <xdr:nvGraphicFramePr>
            <xdr:cNvPr id="22" name="Year 1">
              <a:extLst>
                <a:ext uri="{FF2B5EF4-FFF2-40B4-BE49-F238E27FC236}">
                  <a16:creationId xmlns:a16="http://schemas.microsoft.com/office/drawing/2014/main" id="{A48768B9-9A10-46BF-93CF-F54E9D65CB1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6278728" y="363322"/>
              <a:ext cx="3250048" cy="2991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479778</xdr:colOff>
      <xdr:row>20</xdr:row>
      <xdr:rowOff>14111</xdr:rowOff>
    </xdr:from>
    <xdr:to>
      <xdr:col>16</xdr:col>
      <xdr:colOff>197556</xdr:colOff>
      <xdr:row>43</xdr:row>
      <xdr:rowOff>141111</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63FA7A6D-05A8-410D-AEF1-BCF651F12B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356578" y="3671711"/>
              <a:ext cx="4594578" cy="4333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447148</xdr:colOff>
      <xdr:row>11</xdr:row>
      <xdr:rowOff>174045</xdr:rowOff>
    </xdr:from>
    <xdr:to>
      <xdr:col>10</xdr:col>
      <xdr:colOff>317729</xdr:colOff>
      <xdr:row>13</xdr:row>
      <xdr:rowOff>129293</xdr:rowOff>
    </xdr:to>
    <xdr:sp macro="" textlink="">
      <xdr:nvSpPr>
        <xdr:cNvPr id="18" name="TextBox 17">
          <a:extLst>
            <a:ext uri="{FF2B5EF4-FFF2-40B4-BE49-F238E27FC236}">
              <a16:creationId xmlns:a16="http://schemas.microsoft.com/office/drawing/2014/main" id="{A8B73A69-4615-4E6B-81C7-80BC4EB04DE9}"/>
            </a:ext>
          </a:extLst>
        </xdr:cNvPr>
        <xdr:cNvSpPr txBox="1"/>
      </xdr:nvSpPr>
      <xdr:spPr>
        <a:xfrm>
          <a:off x="5933548" y="2197286"/>
          <a:ext cx="480181" cy="323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200" b="1" i="0" u="none" strike="noStrike">
              <a:solidFill>
                <a:schemeClr val="accent2">
                  <a:lumMod val="60000"/>
                  <a:lumOff val="40000"/>
                </a:schemeClr>
              </a:solidFill>
              <a:latin typeface="SansSerif" panose="00000400000000000000" pitchFamily="2" charset="2"/>
              <a:ea typeface="Calibri"/>
              <a:cs typeface="Calibri"/>
            </a:rPr>
            <a:t>%</a:t>
          </a:r>
        </a:p>
      </xdr:txBody>
    </xdr:sp>
    <xdr:clientData/>
  </xdr:twoCellAnchor>
  <xdr:twoCellAnchor editAs="oneCell">
    <xdr:from>
      <xdr:col>5</xdr:col>
      <xdr:colOff>526532</xdr:colOff>
      <xdr:row>11</xdr:row>
      <xdr:rowOff>68856</xdr:rowOff>
    </xdr:from>
    <xdr:to>
      <xdr:col>6</xdr:col>
      <xdr:colOff>492959</xdr:colOff>
      <xdr:row>14</xdr:row>
      <xdr:rowOff>99889</xdr:rowOff>
    </xdr:to>
    <xdr:pic>
      <xdr:nvPicPr>
        <xdr:cNvPr id="23" name="Picture 22">
          <a:extLst>
            <a:ext uri="{FF2B5EF4-FFF2-40B4-BE49-F238E27FC236}">
              <a16:creationId xmlns:a16="http://schemas.microsoft.com/office/drawing/2014/main" id="{1CC27AA2-31D8-259A-57D7-83EE9AEDBC05}"/>
            </a:ext>
          </a:extLst>
        </xdr:cNvPr>
        <xdr:cNvPicPr>
          <a:picLocks noChangeAspect="1"/>
        </xdr:cNvPicPr>
      </xdr:nvPicPr>
      <xdr:blipFill>
        <a:blip xmlns:r="http://schemas.openxmlformats.org/officeDocument/2006/relationships" r:embed="rId6"/>
        <a:stretch>
          <a:fillRect/>
        </a:stretch>
      </xdr:blipFill>
      <xdr:spPr>
        <a:xfrm>
          <a:off x="3568129" y="2111528"/>
          <a:ext cx="574746" cy="588126"/>
        </a:xfrm>
        <a:prstGeom prst="rect">
          <a:avLst/>
        </a:prstGeom>
      </xdr:spPr>
    </xdr:pic>
    <xdr:clientData/>
  </xdr:twoCellAnchor>
  <xdr:twoCellAnchor editAs="oneCell">
    <xdr:from>
      <xdr:col>2</xdr:col>
      <xdr:colOff>90046</xdr:colOff>
      <xdr:row>11</xdr:row>
      <xdr:rowOff>58335</xdr:rowOff>
    </xdr:from>
    <xdr:to>
      <xdr:col>3</xdr:col>
      <xdr:colOff>56474</xdr:colOff>
      <xdr:row>14</xdr:row>
      <xdr:rowOff>89367</xdr:rowOff>
    </xdr:to>
    <xdr:pic>
      <xdr:nvPicPr>
        <xdr:cNvPr id="29" name="Picture 28">
          <a:extLst>
            <a:ext uri="{FF2B5EF4-FFF2-40B4-BE49-F238E27FC236}">
              <a16:creationId xmlns:a16="http://schemas.microsoft.com/office/drawing/2014/main" id="{5FE27FDC-C245-A210-8EAF-D4F35F8879B1}"/>
            </a:ext>
          </a:extLst>
        </xdr:cNvPr>
        <xdr:cNvPicPr>
          <a:picLocks noChangeAspect="1"/>
        </xdr:cNvPicPr>
      </xdr:nvPicPr>
      <xdr:blipFill>
        <a:blip xmlns:r="http://schemas.openxmlformats.org/officeDocument/2006/relationships" r:embed="rId6"/>
        <a:stretch>
          <a:fillRect/>
        </a:stretch>
      </xdr:blipFill>
      <xdr:spPr>
        <a:xfrm>
          <a:off x="1317713" y="2037418"/>
          <a:ext cx="580261" cy="5707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243840</xdr:colOff>
      <xdr:row>1</xdr:row>
      <xdr:rowOff>30480</xdr:rowOff>
    </xdr:from>
    <xdr:to>
      <xdr:col>9</xdr:col>
      <xdr:colOff>548640</xdr:colOff>
      <xdr:row>16</xdr:row>
      <xdr:rowOff>30480</xdr:rowOff>
    </xdr:to>
    <xdr:graphicFrame macro="">
      <xdr:nvGraphicFramePr>
        <xdr:cNvPr id="3" name="Chart 2">
          <a:extLst>
            <a:ext uri="{FF2B5EF4-FFF2-40B4-BE49-F238E27FC236}">
              <a16:creationId xmlns:a16="http://schemas.microsoft.com/office/drawing/2014/main" id="{E78AD778-5C78-D458-BAC3-A78950EC2E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464820</xdr:colOff>
      <xdr:row>7</xdr:row>
      <xdr:rowOff>53340</xdr:rowOff>
    </xdr:from>
    <xdr:to>
      <xdr:col>10</xdr:col>
      <xdr:colOff>464820</xdr:colOff>
      <xdr:row>20</xdr:row>
      <xdr:rowOff>142875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DA979A13-2846-9CAD-812A-50FF13A3DB7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355080" y="1333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533400</xdr:colOff>
      <xdr:row>6</xdr:row>
      <xdr:rowOff>45720</xdr:rowOff>
    </xdr:from>
    <xdr:to>
      <xdr:col>13</xdr:col>
      <xdr:colOff>533400</xdr:colOff>
      <xdr:row>19</xdr:row>
      <xdr:rowOff>135255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EC6BA3C4-7C5D-F9D4-2BE2-471C84F3B02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252460" y="1143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205740</xdr:colOff>
      <xdr:row>1</xdr:row>
      <xdr:rowOff>121920</xdr:rowOff>
    </xdr:from>
    <xdr:to>
      <xdr:col>8</xdr:col>
      <xdr:colOff>121920</xdr:colOff>
      <xdr:row>16</xdr:row>
      <xdr:rowOff>121920</xdr:rowOff>
    </xdr:to>
    <xdr:graphicFrame macro="">
      <xdr:nvGraphicFramePr>
        <xdr:cNvPr id="3" name="Chart 2">
          <a:extLst>
            <a:ext uri="{FF2B5EF4-FFF2-40B4-BE49-F238E27FC236}">
              <a16:creationId xmlns:a16="http://schemas.microsoft.com/office/drawing/2014/main" id="{1FC8C1D1-E041-D7AC-8D37-4F615500A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243840</xdr:colOff>
      <xdr:row>1</xdr:row>
      <xdr:rowOff>99060</xdr:rowOff>
    </xdr:from>
    <xdr:to>
      <xdr:col>12</xdr:col>
      <xdr:colOff>548640</xdr:colOff>
      <xdr:row>16</xdr:row>
      <xdr:rowOff>99060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3E1BCD3E-2877-97E0-6F77-C13C2AEE94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84520" y="28194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234803</xdr:colOff>
      <xdr:row>1</xdr:row>
      <xdr:rowOff>156830</xdr:rowOff>
    </xdr:from>
    <xdr:to>
      <xdr:col>5</xdr:col>
      <xdr:colOff>287965</xdr:colOff>
      <xdr:row>16</xdr:row>
      <xdr:rowOff>108984</xdr:rowOff>
    </xdr:to>
    <xdr:graphicFrame macro="">
      <xdr:nvGraphicFramePr>
        <xdr:cNvPr id="2" name="RevenueIncrease">
          <a:extLst>
            <a:ext uri="{FF2B5EF4-FFF2-40B4-BE49-F238E27FC236}">
              <a16:creationId xmlns:a16="http://schemas.microsoft.com/office/drawing/2014/main" id="{4E129FE2-C072-B256-FD2B-8CAAF4F8C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175260</xdr:colOff>
      <xdr:row>1</xdr:row>
      <xdr:rowOff>121920</xdr:rowOff>
    </xdr:from>
    <xdr:to>
      <xdr:col>9</xdr:col>
      <xdr:colOff>480060</xdr:colOff>
      <xdr:row>16</xdr:row>
      <xdr:rowOff>121920</xdr:rowOff>
    </xdr:to>
    <xdr:graphicFrame macro="">
      <xdr:nvGraphicFramePr>
        <xdr:cNvPr id="2" name="Jobloss">
          <a:extLst>
            <a:ext uri="{FF2B5EF4-FFF2-40B4-BE49-F238E27FC236}">
              <a16:creationId xmlns:a16="http://schemas.microsoft.com/office/drawing/2014/main" id="{8D0CC439-AAD2-866B-5F8C-7E4C70E16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457200</xdr:colOff>
      <xdr:row>1</xdr:row>
      <xdr:rowOff>3810</xdr:rowOff>
    </xdr:from>
    <xdr:to>
      <xdr:col>21</xdr:col>
      <xdr:colOff>152400</xdr:colOff>
      <xdr:row>16</xdr:row>
      <xdr:rowOff>3810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1FEE8E0-E8A1-7BAD-6AA8-D17748ED34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332720" y="1866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70.587418518517" createdVersion="8" refreshedVersion="8" minRefreshableVersion="3" recordCount="200" xr:uid="{02CA7D31-1CB4-4FB6-82E6-E3A17696F96F}">
  <cacheSource type="worksheet">
    <worksheetSource name="Table1"/>
  </cacheSource>
  <cacheFields count="12">
    <cacheField name="Country" numFmtId="0">
      <sharedItems count="10">
        <s v="Australia"/>
        <s v="Canada"/>
        <s v="China"/>
        <s v="France"/>
        <s v="Germany"/>
        <s v="India"/>
        <s v="Japan"/>
        <s v="South Korea"/>
        <s v="UK"/>
        <s v="USA"/>
      </sharedItems>
    </cacheField>
    <cacheField name="Year" numFmtId="0">
      <sharedItems containsSemiMixedTypes="0" containsString="0" containsNumber="1" containsInteger="1" minValue="2020" maxValue="2025" count="6">
        <n v="2020"/>
        <n v="2021"/>
        <n v="2022"/>
        <n v="2023"/>
        <n v="2024"/>
        <n v="2025"/>
      </sharedItems>
    </cacheField>
    <cacheField name="Industry" numFmtId="0">
      <sharedItems count="10">
        <s v="Automotive"/>
        <s v="Marketing"/>
        <s v="Healthcare"/>
        <s v="Finance"/>
        <s v="Gaming"/>
        <s v="Media"/>
        <s v="Retail"/>
        <s v="Education"/>
        <s v="Legal"/>
        <s v="Manufacturing"/>
      </sharedItems>
    </cacheField>
    <cacheField name="AI Adoption Rate (%)" numFmtId="0">
      <sharedItems containsSemiMixedTypes="0" containsString="0" containsNumber="1" minValue="10.53" maxValue="94.76"/>
    </cacheField>
    <cacheField name="AI-Generated Content Volume (TBs per year)" numFmtId="0">
      <sharedItems containsSemiMixedTypes="0" containsString="0" containsNumber="1" minValue="1.04" maxValue="99.06"/>
    </cacheField>
    <cacheField name="Job Loss Due to AI (%)" numFmtId="0">
      <sharedItems containsSemiMixedTypes="0" containsString="0" containsNumber="1" minValue="0.09" maxValue="49.71"/>
    </cacheField>
    <cacheField name="Revenue Increase Due to AI (%)" numFmtId="0">
      <sharedItems containsSemiMixedTypes="0" containsString="0" containsNumber="1" minValue="0.14000000000000001" maxValue="79.55"/>
    </cacheField>
    <cacheField name="Human-AI Collaboration Rate (%)" numFmtId="0">
      <sharedItems containsSemiMixedTypes="0" containsString="0" containsNumber="1" minValue="20.21" maxValue="88.29"/>
    </cacheField>
    <cacheField name="Top AI Tools Used" numFmtId="0">
      <sharedItems count="7">
        <s v="Claude"/>
        <s v="DALL-E"/>
        <s v="ChatGPT"/>
        <s v="Synthesia"/>
        <s v="Stable Diffusion"/>
        <s v="Midjourney"/>
        <s v="Bard"/>
      </sharedItems>
    </cacheField>
    <cacheField name="Regulation Status" numFmtId="0">
      <sharedItems count="3">
        <s v="Moderate"/>
        <s v="Lenient"/>
        <s v="Strict"/>
      </sharedItems>
    </cacheField>
    <cacheField name="Consumer Trust in AI (%)" numFmtId="0">
      <sharedItems containsSemiMixedTypes="0" containsString="0" containsNumber="1" minValue="30.12" maxValue="89.88"/>
    </cacheField>
    <cacheField name="Market Share of AI Companies (%)" numFmtId="0">
      <sharedItems containsSemiMixedTypes="0" containsString="0" containsNumber="1" minValue="1.18" maxValue="49.28"/>
    </cacheField>
  </cacheFields>
  <extLst>
    <ext xmlns:x14="http://schemas.microsoft.com/office/spreadsheetml/2009/9/main" uri="{725AE2AE-9491-48be-B2B4-4EB974FC3084}">
      <x14:pivotCacheDefinition pivotCacheId="7603158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n v="14.31"/>
    <n v="35.590000000000003"/>
    <n v="14.59"/>
    <n v="36.049999999999997"/>
    <n v="76.709999999999994"/>
    <x v="0"/>
    <x v="0"/>
    <n v="76.459999999999994"/>
    <n v="2.64"/>
  </r>
  <r>
    <x v="0"/>
    <x v="0"/>
    <x v="1"/>
    <n v="33.909999999999997"/>
    <n v="86.4"/>
    <n v="17.149999999999999"/>
    <n v="59.2"/>
    <n v="32.1"/>
    <x v="1"/>
    <x v="1"/>
    <n v="76.05"/>
    <n v="37.53"/>
  </r>
  <r>
    <x v="0"/>
    <x v="0"/>
    <x v="2"/>
    <n v="21.02"/>
    <n v="20.5"/>
    <n v="5.47"/>
    <n v="79.55"/>
    <n v="53.09"/>
    <x v="2"/>
    <x v="2"/>
    <n v="44.82"/>
    <n v="13.25"/>
  </r>
  <r>
    <x v="0"/>
    <x v="0"/>
    <x v="3"/>
    <n v="69.67"/>
    <n v="47.75"/>
    <n v="27.81"/>
    <n v="55.74"/>
    <n v="74.989999999999995"/>
    <x v="3"/>
    <x v="0"/>
    <n v="68.67"/>
    <n v="9.18"/>
  </r>
  <r>
    <x v="0"/>
    <x v="1"/>
    <x v="4"/>
    <n v="76.22"/>
    <n v="75.930000000000007"/>
    <n v="43.3"/>
    <n v="10.63"/>
    <n v="61.88"/>
    <x v="1"/>
    <x v="0"/>
    <n v="65.569999999999993"/>
    <n v="6.82"/>
  </r>
  <r>
    <x v="0"/>
    <x v="1"/>
    <x v="5"/>
    <n v="57.44"/>
    <n v="74.709999999999994"/>
    <n v="25.91"/>
    <n v="47.8"/>
    <n v="82.92"/>
    <x v="1"/>
    <x v="2"/>
    <n v="49.17"/>
    <n v="43.77"/>
  </r>
  <r>
    <x v="0"/>
    <x v="2"/>
    <x v="4"/>
    <n v="89.96"/>
    <n v="80.3"/>
    <n v="25.11"/>
    <n v="74.040000000000006"/>
    <n v="51.67"/>
    <x v="0"/>
    <x v="2"/>
    <n v="78.510000000000005"/>
    <n v="17.66"/>
  </r>
  <r>
    <x v="0"/>
    <x v="2"/>
    <x v="6"/>
    <n v="78.599999999999994"/>
    <n v="19.64"/>
    <n v="1.29"/>
    <n v="8.4700000000000006"/>
    <n v="64.180000000000007"/>
    <x v="2"/>
    <x v="2"/>
    <n v="59.15"/>
    <n v="13.48"/>
  </r>
  <r>
    <x v="0"/>
    <x v="3"/>
    <x v="5"/>
    <n v="68.23"/>
    <n v="6.14"/>
    <n v="6.2"/>
    <n v="53.13"/>
    <n v="53.16"/>
    <x v="0"/>
    <x v="0"/>
    <n v="71.599999999999994"/>
    <n v="15.26"/>
  </r>
  <r>
    <x v="0"/>
    <x v="3"/>
    <x v="6"/>
    <n v="91.41"/>
    <n v="67.489999999999995"/>
    <n v="6.67"/>
    <n v="71.61"/>
    <n v="54.73"/>
    <x v="2"/>
    <x v="2"/>
    <n v="53.96"/>
    <n v="29.35"/>
  </r>
  <r>
    <x v="0"/>
    <x v="3"/>
    <x v="1"/>
    <n v="18.43"/>
    <n v="7.44"/>
    <n v="2.75"/>
    <n v="12.96"/>
    <n v="54.31"/>
    <x v="2"/>
    <x v="0"/>
    <n v="73.34"/>
    <n v="6.21"/>
  </r>
  <r>
    <x v="0"/>
    <x v="3"/>
    <x v="0"/>
    <n v="45.35"/>
    <n v="20.49"/>
    <n v="33.21"/>
    <n v="50.5"/>
    <n v="41.73"/>
    <x v="0"/>
    <x v="2"/>
    <n v="47.42"/>
    <n v="43.11"/>
  </r>
  <r>
    <x v="0"/>
    <x v="4"/>
    <x v="0"/>
    <n v="78.209999999999994"/>
    <n v="33.340000000000003"/>
    <n v="6.54"/>
    <n v="76.760000000000005"/>
    <n v="87.8"/>
    <x v="0"/>
    <x v="2"/>
    <n v="71.22"/>
    <n v="49.04"/>
  </r>
  <r>
    <x v="0"/>
    <x v="5"/>
    <x v="4"/>
    <n v="62.64"/>
    <n v="61.24"/>
    <n v="37.25"/>
    <n v="43.72"/>
    <n v="20.21"/>
    <x v="0"/>
    <x v="1"/>
    <n v="79.680000000000007"/>
    <n v="47.08"/>
  </r>
  <r>
    <x v="0"/>
    <x v="5"/>
    <x v="3"/>
    <n v="35.83"/>
    <n v="94.62"/>
    <n v="29.11"/>
    <n v="65.36"/>
    <n v="82.68"/>
    <x v="4"/>
    <x v="1"/>
    <n v="38.020000000000003"/>
    <n v="20.93"/>
  </r>
  <r>
    <x v="1"/>
    <x v="0"/>
    <x v="1"/>
    <n v="41.32"/>
    <n v="1.52"/>
    <n v="34.42"/>
    <n v="17.23"/>
    <n v="36.29"/>
    <x v="5"/>
    <x v="1"/>
    <n v="70.430000000000007"/>
    <n v="37.79"/>
  </r>
  <r>
    <x v="1"/>
    <x v="0"/>
    <x v="7"/>
    <n v="60.69"/>
    <n v="56.38"/>
    <n v="29.34"/>
    <n v="28.55"/>
    <n v="39.5"/>
    <x v="0"/>
    <x v="2"/>
    <n v="30.81"/>
    <n v="3.26"/>
  </r>
  <r>
    <x v="1"/>
    <x v="0"/>
    <x v="2"/>
    <n v="68.239999999999995"/>
    <n v="36.33"/>
    <n v="22.77"/>
    <n v="24.34"/>
    <n v="40.04"/>
    <x v="2"/>
    <x v="1"/>
    <n v="45.16"/>
    <n v="15.34"/>
  </r>
  <r>
    <x v="1"/>
    <x v="0"/>
    <x v="4"/>
    <n v="50.97"/>
    <n v="16.05"/>
    <n v="46.78"/>
    <n v="62.71"/>
    <n v="68.180000000000007"/>
    <x v="3"/>
    <x v="2"/>
    <n v="60.09"/>
    <n v="31.02"/>
  </r>
  <r>
    <x v="1"/>
    <x v="0"/>
    <x v="8"/>
    <n v="39.94"/>
    <n v="57.79"/>
    <n v="46.08"/>
    <n v="44.31"/>
    <n v="38.14"/>
    <x v="5"/>
    <x v="2"/>
    <n v="46.49"/>
    <n v="37.29"/>
  </r>
  <r>
    <x v="1"/>
    <x v="1"/>
    <x v="9"/>
    <n v="49.72"/>
    <n v="73.599999999999994"/>
    <n v="44.52"/>
    <n v="66.78"/>
    <n v="73.260000000000005"/>
    <x v="5"/>
    <x v="1"/>
    <n v="89.07"/>
    <n v="20.52"/>
  </r>
  <r>
    <x v="1"/>
    <x v="2"/>
    <x v="6"/>
    <n v="67.150000000000006"/>
    <n v="65.709999999999994"/>
    <n v="8.92"/>
    <n v="19.32"/>
    <n v="40.950000000000003"/>
    <x v="6"/>
    <x v="1"/>
    <n v="48.1"/>
    <n v="22.15"/>
  </r>
  <r>
    <x v="1"/>
    <x v="2"/>
    <x v="2"/>
    <n v="52.43"/>
    <n v="90.69"/>
    <n v="37.9"/>
    <n v="9.7799999999999994"/>
    <n v="67.03"/>
    <x v="1"/>
    <x v="2"/>
    <n v="63.92"/>
    <n v="47.98"/>
  </r>
  <r>
    <x v="1"/>
    <x v="2"/>
    <x v="8"/>
    <n v="27.53"/>
    <n v="95.29"/>
    <n v="29.08"/>
    <n v="13.91"/>
    <n v="52.29"/>
    <x v="3"/>
    <x v="1"/>
    <n v="70.430000000000007"/>
    <n v="9.06"/>
  </r>
  <r>
    <x v="1"/>
    <x v="2"/>
    <x v="0"/>
    <n v="11.14"/>
    <n v="28.47"/>
    <n v="43.11"/>
    <n v="50.61"/>
    <n v="78.2"/>
    <x v="3"/>
    <x v="1"/>
    <n v="81.93"/>
    <n v="47.32"/>
  </r>
  <r>
    <x v="1"/>
    <x v="3"/>
    <x v="5"/>
    <n v="61.49"/>
    <n v="17.53"/>
    <n v="48.25"/>
    <n v="20.74"/>
    <n v="47.72"/>
    <x v="1"/>
    <x v="0"/>
    <n v="87.9"/>
    <n v="29.32"/>
  </r>
  <r>
    <x v="1"/>
    <x v="3"/>
    <x v="4"/>
    <n v="31.96"/>
    <n v="49.43"/>
    <n v="28.25"/>
    <n v="56.09"/>
    <n v="79.12"/>
    <x v="5"/>
    <x v="2"/>
    <n v="69.59"/>
    <n v="21.86"/>
  </r>
  <r>
    <x v="1"/>
    <x v="5"/>
    <x v="7"/>
    <n v="17.02"/>
    <n v="87.77"/>
    <n v="4.59"/>
    <n v="52.45"/>
    <n v="64.72"/>
    <x v="0"/>
    <x v="0"/>
    <n v="60.55"/>
    <n v="22.7"/>
  </r>
  <r>
    <x v="1"/>
    <x v="5"/>
    <x v="4"/>
    <n v="94.76"/>
    <n v="17.579999999999998"/>
    <n v="14.48"/>
    <n v="71.63"/>
    <n v="67.44"/>
    <x v="5"/>
    <x v="2"/>
    <n v="71.959999999999994"/>
    <n v="34.65"/>
  </r>
  <r>
    <x v="1"/>
    <x v="5"/>
    <x v="8"/>
    <n v="82.25"/>
    <n v="6.81"/>
    <n v="30.99"/>
    <n v="76.88"/>
    <n v="57"/>
    <x v="1"/>
    <x v="1"/>
    <n v="33.479999999999997"/>
    <n v="27.13"/>
  </r>
  <r>
    <x v="1"/>
    <x v="5"/>
    <x v="1"/>
    <n v="78.430000000000007"/>
    <n v="84.82"/>
    <n v="26.41"/>
    <n v="4.72"/>
    <n v="33.28"/>
    <x v="3"/>
    <x v="0"/>
    <n v="64.489999999999995"/>
    <n v="45.04"/>
  </r>
  <r>
    <x v="2"/>
    <x v="0"/>
    <x v="9"/>
    <n v="45.27"/>
    <n v="82.47"/>
    <n v="12.07"/>
    <n v="57.15"/>
    <n v="57.03"/>
    <x v="5"/>
    <x v="2"/>
    <n v="42.57"/>
    <n v="39.35"/>
  </r>
  <r>
    <x v="2"/>
    <x v="0"/>
    <x v="7"/>
    <n v="70.7"/>
    <n v="94.67"/>
    <n v="37.590000000000003"/>
    <n v="44.7"/>
    <n v="78.66"/>
    <x v="2"/>
    <x v="1"/>
    <n v="64.86"/>
    <n v="3.86"/>
  </r>
  <r>
    <x v="2"/>
    <x v="0"/>
    <x v="9"/>
    <n v="72.88"/>
    <n v="1.55"/>
    <n v="47.77"/>
    <n v="76.86"/>
    <n v="55.78"/>
    <x v="5"/>
    <x v="0"/>
    <n v="57.09"/>
    <n v="12.1"/>
  </r>
  <r>
    <x v="2"/>
    <x v="0"/>
    <x v="6"/>
    <n v="82.41"/>
    <n v="77.290000000000006"/>
    <n v="11.75"/>
    <n v="17.78"/>
    <n v="33.19"/>
    <x v="1"/>
    <x v="2"/>
    <n v="81.88"/>
    <n v="24.11"/>
  </r>
  <r>
    <x v="2"/>
    <x v="0"/>
    <x v="5"/>
    <n v="43.22"/>
    <n v="52.8"/>
    <n v="43.2"/>
    <n v="51.15"/>
    <n v="51.23"/>
    <x v="6"/>
    <x v="0"/>
    <n v="60.89"/>
    <n v="33.4"/>
  </r>
  <r>
    <x v="2"/>
    <x v="0"/>
    <x v="9"/>
    <n v="93.49"/>
    <n v="16.96"/>
    <n v="20.47"/>
    <n v="26.27"/>
    <n v="83.71"/>
    <x v="2"/>
    <x v="0"/>
    <n v="70.17"/>
    <n v="45.17"/>
  </r>
  <r>
    <x v="2"/>
    <x v="0"/>
    <x v="5"/>
    <n v="35.22"/>
    <n v="84.15"/>
    <n v="20.440000000000001"/>
    <n v="73.08"/>
    <n v="65.489999999999995"/>
    <x v="3"/>
    <x v="1"/>
    <n v="48.02"/>
    <n v="22.55"/>
  </r>
  <r>
    <x v="2"/>
    <x v="1"/>
    <x v="4"/>
    <n v="13.9"/>
    <n v="51.2"/>
    <n v="49.71"/>
    <n v="0.56999999999999995"/>
    <n v="65.400000000000006"/>
    <x v="4"/>
    <x v="0"/>
    <n v="68.69"/>
    <n v="38.590000000000003"/>
  </r>
  <r>
    <x v="2"/>
    <x v="1"/>
    <x v="5"/>
    <n v="85.09"/>
    <n v="40.119999999999997"/>
    <n v="34.67"/>
    <n v="50.96"/>
    <n v="43.18"/>
    <x v="5"/>
    <x v="0"/>
    <n v="61.28"/>
    <n v="25.64"/>
  </r>
  <r>
    <x v="2"/>
    <x v="1"/>
    <x v="3"/>
    <n v="14.76"/>
    <n v="58.35"/>
    <n v="39.61"/>
    <n v="76.52"/>
    <n v="36.03"/>
    <x v="3"/>
    <x v="1"/>
    <n v="81.84"/>
    <n v="22.64"/>
  </r>
  <r>
    <x v="2"/>
    <x v="2"/>
    <x v="5"/>
    <n v="26.27"/>
    <n v="38.130000000000003"/>
    <n v="21.79"/>
    <n v="3.37"/>
    <n v="65.36"/>
    <x v="5"/>
    <x v="1"/>
    <n v="54.57"/>
    <n v="38.020000000000003"/>
  </r>
  <r>
    <x v="2"/>
    <x v="2"/>
    <x v="0"/>
    <n v="46.72"/>
    <n v="85.74"/>
    <n v="15.77"/>
    <n v="75.69"/>
    <n v="38.200000000000003"/>
    <x v="2"/>
    <x v="1"/>
    <n v="83.61"/>
    <n v="33.06"/>
  </r>
  <r>
    <x v="2"/>
    <x v="2"/>
    <x v="3"/>
    <n v="39.479999999999997"/>
    <n v="63.35"/>
    <n v="25.56"/>
    <n v="55.14"/>
    <n v="20.82"/>
    <x v="5"/>
    <x v="1"/>
    <n v="42.94"/>
    <n v="36.32"/>
  </r>
  <r>
    <x v="2"/>
    <x v="3"/>
    <x v="8"/>
    <n v="66.930000000000007"/>
    <n v="6.59"/>
    <n v="3.23"/>
    <n v="0.85"/>
    <n v="71.52"/>
    <x v="5"/>
    <x v="2"/>
    <n v="43.34"/>
    <n v="5.41"/>
  </r>
  <r>
    <x v="2"/>
    <x v="3"/>
    <x v="3"/>
    <n v="27.02"/>
    <n v="8.68"/>
    <n v="25.44"/>
    <n v="8.51"/>
    <n v="68.599999999999994"/>
    <x v="5"/>
    <x v="2"/>
    <n v="84.37"/>
    <n v="14.69"/>
  </r>
  <r>
    <x v="2"/>
    <x v="3"/>
    <x v="2"/>
    <n v="80.75"/>
    <n v="60.93"/>
    <n v="32.200000000000003"/>
    <n v="14.67"/>
    <n v="61.33"/>
    <x v="0"/>
    <x v="0"/>
    <n v="83.72"/>
    <n v="32.54"/>
  </r>
  <r>
    <x v="2"/>
    <x v="4"/>
    <x v="9"/>
    <n v="48.54"/>
    <n v="89.58"/>
    <n v="34.880000000000003"/>
    <n v="66.31"/>
    <n v="60.28"/>
    <x v="5"/>
    <x v="0"/>
    <n v="30.52"/>
    <n v="24.81"/>
  </r>
  <r>
    <x v="2"/>
    <x v="5"/>
    <x v="8"/>
    <n v="34.75"/>
    <n v="66.739999999999995"/>
    <n v="46.89"/>
    <n v="52.46"/>
    <n v="26.17"/>
    <x v="1"/>
    <x v="2"/>
    <n v="35.67"/>
    <n v="35.020000000000003"/>
  </r>
  <r>
    <x v="2"/>
    <x v="5"/>
    <x v="2"/>
    <n v="25.5"/>
    <n v="18.739999999999998"/>
    <n v="15.07"/>
    <n v="40.81"/>
    <n v="64.86"/>
    <x v="4"/>
    <x v="0"/>
    <n v="51.07"/>
    <n v="39.97"/>
  </r>
  <r>
    <x v="2"/>
    <x v="5"/>
    <x v="8"/>
    <n v="87.73"/>
    <n v="44.74"/>
    <n v="42.89"/>
    <n v="78.5"/>
    <n v="39.340000000000003"/>
    <x v="1"/>
    <x v="2"/>
    <n v="78.540000000000006"/>
    <n v="32.72"/>
  </r>
  <r>
    <x v="2"/>
    <x v="5"/>
    <x v="4"/>
    <n v="70.040000000000006"/>
    <n v="66.599999999999994"/>
    <n v="29.79"/>
    <n v="23.17"/>
    <n v="58.46"/>
    <x v="6"/>
    <x v="0"/>
    <n v="41.08"/>
    <n v="8.39"/>
  </r>
  <r>
    <x v="3"/>
    <x v="0"/>
    <x v="1"/>
    <n v="71"/>
    <n v="77.53"/>
    <n v="17.41"/>
    <n v="12.56"/>
    <n v="31.57"/>
    <x v="5"/>
    <x v="2"/>
    <n v="56.93"/>
    <n v="38.36"/>
  </r>
  <r>
    <x v="3"/>
    <x v="0"/>
    <x v="0"/>
    <n v="79.59"/>
    <n v="20.37"/>
    <n v="39.06"/>
    <n v="44.06"/>
    <n v="83.18"/>
    <x v="3"/>
    <x v="0"/>
    <n v="45.04"/>
    <n v="14.03"/>
  </r>
  <r>
    <x v="3"/>
    <x v="0"/>
    <x v="5"/>
    <n v="20.47"/>
    <n v="1.61"/>
    <n v="2.4300000000000002"/>
    <n v="31.04"/>
    <n v="52.49"/>
    <x v="4"/>
    <x v="2"/>
    <n v="35.799999999999997"/>
    <n v="24.29"/>
  </r>
  <r>
    <x v="3"/>
    <x v="0"/>
    <x v="9"/>
    <n v="93.16"/>
    <n v="50.91"/>
    <n v="36.57"/>
    <n v="35.31"/>
    <n v="78.290000000000006"/>
    <x v="2"/>
    <x v="1"/>
    <n v="65.040000000000006"/>
    <n v="9.0399999999999991"/>
  </r>
  <r>
    <x v="3"/>
    <x v="0"/>
    <x v="8"/>
    <n v="64.430000000000007"/>
    <n v="41.41"/>
    <n v="38.39"/>
    <n v="19.260000000000002"/>
    <n v="88.29"/>
    <x v="1"/>
    <x v="2"/>
    <n v="45.13"/>
    <n v="6.24"/>
  </r>
  <r>
    <x v="3"/>
    <x v="0"/>
    <x v="5"/>
    <n v="55.19"/>
    <n v="41.06"/>
    <n v="29.26"/>
    <n v="51.9"/>
    <n v="49.04"/>
    <x v="2"/>
    <x v="0"/>
    <n v="50.12"/>
    <n v="46.08"/>
  </r>
  <r>
    <x v="3"/>
    <x v="1"/>
    <x v="8"/>
    <n v="85.24"/>
    <n v="93.76"/>
    <n v="27.7"/>
    <n v="78.239999999999995"/>
    <n v="29.45"/>
    <x v="0"/>
    <x v="0"/>
    <n v="51.84"/>
    <n v="1.93"/>
  </r>
  <r>
    <x v="3"/>
    <x v="1"/>
    <x v="4"/>
    <n v="78.95"/>
    <n v="45.62"/>
    <n v="17.45"/>
    <n v="1.05"/>
    <n v="21.7"/>
    <x v="5"/>
    <x v="2"/>
    <n v="41.77"/>
    <n v="21.41"/>
  </r>
  <r>
    <x v="3"/>
    <x v="1"/>
    <x v="8"/>
    <n v="25.62"/>
    <n v="86.47"/>
    <n v="47.64"/>
    <n v="71.099999999999994"/>
    <n v="36.22"/>
    <x v="6"/>
    <x v="1"/>
    <n v="63.66"/>
    <n v="29.92"/>
  </r>
  <r>
    <x v="3"/>
    <x v="1"/>
    <x v="5"/>
    <n v="42.53"/>
    <n v="44.38"/>
    <n v="8.99"/>
    <n v="49.69"/>
    <n v="47.11"/>
    <x v="3"/>
    <x v="0"/>
    <n v="55.15"/>
    <n v="46.58"/>
  </r>
  <r>
    <x v="3"/>
    <x v="1"/>
    <x v="4"/>
    <n v="54.67"/>
    <n v="64.099999999999994"/>
    <n v="38.29"/>
    <n v="27.12"/>
    <n v="24.78"/>
    <x v="4"/>
    <x v="0"/>
    <n v="75.599999999999994"/>
    <n v="32.81"/>
  </r>
  <r>
    <x v="3"/>
    <x v="2"/>
    <x v="5"/>
    <n v="49.97"/>
    <n v="5.59"/>
    <n v="22.61"/>
    <n v="17.55"/>
    <n v="34.97"/>
    <x v="3"/>
    <x v="1"/>
    <n v="78.709999999999994"/>
    <n v="27.6"/>
  </r>
  <r>
    <x v="3"/>
    <x v="2"/>
    <x v="6"/>
    <n v="43.32"/>
    <n v="18.93"/>
    <n v="22.13"/>
    <n v="61.74"/>
    <n v="33.94"/>
    <x v="0"/>
    <x v="1"/>
    <n v="69.97"/>
    <n v="13.22"/>
  </r>
  <r>
    <x v="3"/>
    <x v="3"/>
    <x v="5"/>
    <n v="88.41"/>
    <n v="5.34"/>
    <n v="36.07"/>
    <n v="13.78"/>
    <n v="36.24"/>
    <x v="3"/>
    <x v="0"/>
    <n v="58.85"/>
    <n v="35.86"/>
  </r>
  <r>
    <x v="3"/>
    <x v="3"/>
    <x v="8"/>
    <n v="48.39"/>
    <n v="57.31"/>
    <n v="1.2"/>
    <n v="17.95"/>
    <n v="61.69"/>
    <x v="6"/>
    <x v="1"/>
    <n v="66.25"/>
    <n v="44.4"/>
  </r>
  <r>
    <x v="3"/>
    <x v="3"/>
    <x v="1"/>
    <n v="65.77"/>
    <n v="49.83"/>
    <n v="39.94"/>
    <n v="79.44"/>
    <n v="43.73"/>
    <x v="3"/>
    <x v="1"/>
    <n v="81.58"/>
    <n v="14.62"/>
  </r>
  <r>
    <x v="3"/>
    <x v="4"/>
    <x v="3"/>
    <n v="73.22"/>
    <n v="94.47"/>
    <n v="26.42"/>
    <n v="28.86"/>
    <n v="57.06"/>
    <x v="4"/>
    <x v="2"/>
    <n v="30.17"/>
    <n v="48.56"/>
  </r>
  <r>
    <x v="3"/>
    <x v="4"/>
    <x v="4"/>
    <n v="27.95"/>
    <n v="71.37"/>
    <n v="49.33"/>
    <n v="0.93"/>
    <n v="53.7"/>
    <x v="4"/>
    <x v="0"/>
    <n v="87.06"/>
    <n v="20.68"/>
  </r>
  <r>
    <x v="3"/>
    <x v="4"/>
    <x v="0"/>
    <n v="15.77"/>
    <n v="23.95"/>
    <n v="7.51"/>
    <n v="43.32"/>
    <n v="36.549999999999997"/>
    <x v="2"/>
    <x v="2"/>
    <n v="60.71"/>
    <n v="48.02"/>
  </r>
  <r>
    <x v="3"/>
    <x v="4"/>
    <x v="5"/>
    <n v="23.27"/>
    <n v="38.75"/>
    <n v="44.22"/>
    <n v="67.88"/>
    <n v="78.13"/>
    <x v="2"/>
    <x v="0"/>
    <n v="72.790000000000006"/>
    <n v="13.5"/>
  </r>
  <r>
    <x v="3"/>
    <x v="4"/>
    <x v="2"/>
    <n v="77.33"/>
    <n v="51.28"/>
    <n v="23.6"/>
    <n v="23.16"/>
    <n v="84.93"/>
    <x v="2"/>
    <x v="2"/>
    <n v="85.01"/>
    <n v="24.33"/>
  </r>
  <r>
    <x v="3"/>
    <x v="5"/>
    <x v="1"/>
    <n v="62.94"/>
    <n v="7.49"/>
    <n v="22.4"/>
    <n v="71.69"/>
    <n v="63.54"/>
    <x v="4"/>
    <x v="1"/>
    <n v="44.26"/>
    <n v="41.99"/>
  </r>
  <r>
    <x v="3"/>
    <x v="5"/>
    <x v="5"/>
    <n v="79.64"/>
    <n v="87.25"/>
    <n v="12.32"/>
    <n v="54.75"/>
    <n v="82.48"/>
    <x v="1"/>
    <x v="0"/>
    <n v="49.54"/>
    <n v="20.170000000000002"/>
  </r>
  <r>
    <x v="3"/>
    <x v="5"/>
    <x v="6"/>
    <n v="29.61"/>
    <n v="59.56"/>
    <n v="24.68"/>
    <n v="46.92"/>
    <n v="57.21"/>
    <x v="1"/>
    <x v="0"/>
    <n v="31.7"/>
    <n v="28.9"/>
  </r>
  <r>
    <x v="4"/>
    <x v="0"/>
    <x v="3"/>
    <n v="71.900000000000006"/>
    <n v="21.66"/>
    <n v="37.69"/>
    <n v="28.02"/>
    <n v="26.7"/>
    <x v="5"/>
    <x v="0"/>
    <n v="40.799999999999997"/>
    <n v="37.869999999999997"/>
  </r>
  <r>
    <x v="4"/>
    <x v="0"/>
    <x v="9"/>
    <n v="20.23"/>
    <n v="68.16"/>
    <n v="49.16"/>
    <n v="38.340000000000003"/>
    <n v="24.65"/>
    <x v="6"/>
    <x v="1"/>
    <n v="58.54"/>
    <n v="1.63"/>
  </r>
  <r>
    <x v="4"/>
    <x v="0"/>
    <x v="5"/>
    <n v="34.28"/>
    <n v="76.540000000000006"/>
    <n v="26.52"/>
    <n v="68.89"/>
    <n v="61.67"/>
    <x v="2"/>
    <x v="1"/>
    <n v="57.88"/>
    <n v="35.630000000000003"/>
  </r>
  <r>
    <x v="4"/>
    <x v="0"/>
    <x v="9"/>
    <n v="21.63"/>
    <n v="36.58"/>
    <n v="42.05"/>
    <n v="61.25"/>
    <n v="53"/>
    <x v="3"/>
    <x v="0"/>
    <n v="57.27"/>
    <n v="22.23"/>
  </r>
  <r>
    <x v="4"/>
    <x v="0"/>
    <x v="5"/>
    <n v="70.11"/>
    <n v="28.26"/>
    <n v="27.62"/>
    <n v="57.86"/>
    <n v="58.71"/>
    <x v="1"/>
    <x v="2"/>
    <n v="78.739999999999995"/>
    <n v="31.73"/>
  </r>
  <r>
    <x v="4"/>
    <x v="1"/>
    <x v="1"/>
    <n v="81.180000000000007"/>
    <n v="3.56"/>
    <n v="33.94"/>
    <n v="68.33"/>
    <n v="76.84"/>
    <x v="0"/>
    <x v="1"/>
    <n v="41.73"/>
    <n v="39.04"/>
  </r>
  <r>
    <x v="4"/>
    <x v="1"/>
    <x v="9"/>
    <n v="20.25"/>
    <n v="99.06"/>
    <n v="3.81"/>
    <n v="6.61"/>
    <n v="80.08"/>
    <x v="1"/>
    <x v="0"/>
    <n v="80.650000000000006"/>
    <n v="5.5"/>
  </r>
  <r>
    <x v="4"/>
    <x v="1"/>
    <x v="7"/>
    <n v="45.09"/>
    <n v="11.8"/>
    <n v="27.79"/>
    <n v="0.14000000000000001"/>
    <n v="39.090000000000003"/>
    <x v="6"/>
    <x v="2"/>
    <n v="50.81"/>
    <n v="20.61"/>
  </r>
  <r>
    <x v="4"/>
    <x v="1"/>
    <x v="5"/>
    <n v="40.799999999999997"/>
    <n v="42.29"/>
    <n v="21.03"/>
    <n v="62.27"/>
    <n v="21.16"/>
    <x v="6"/>
    <x v="1"/>
    <n v="77.31"/>
    <n v="12.95"/>
  </r>
  <r>
    <x v="4"/>
    <x v="1"/>
    <x v="0"/>
    <n v="89.44"/>
    <n v="52.98"/>
    <n v="48.47"/>
    <n v="12.14"/>
    <n v="30.6"/>
    <x v="1"/>
    <x v="1"/>
    <n v="77.209999999999994"/>
    <n v="44.35"/>
  </r>
  <r>
    <x v="4"/>
    <x v="2"/>
    <x v="7"/>
    <n v="43.85"/>
    <n v="52.54"/>
    <n v="32.07"/>
    <n v="73.680000000000007"/>
    <n v="74.08"/>
    <x v="4"/>
    <x v="2"/>
    <n v="56.79"/>
    <n v="25.07"/>
  </r>
  <r>
    <x v="4"/>
    <x v="2"/>
    <x v="3"/>
    <n v="87.95"/>
    <n v="12.55"/>
    <n v="12.61"/>
    <n v="3.82"/>
    <n v="25.44"/>
    <x v="0"/>
    <x v="1"/>
    <n v="34.369999999999997"/>
    <n v="31.99"/>
  </r>
  <r>
    <x v="4"/>
    <x v="3"/>
    <x v="2"/>
    <n v="88.75"/>
    <n v="30.56"/>
    <n v="31.35"/>
    <n v="60.23"/>
    <n v="46.53"/>
    <x v="2"/>
    <x v="0"/>
    <n v="70.19"/>
    <n v="30.79"/>
  </r>
  <r>
    <x v="4"/>
    <x v="3"/>
    <x v="5"/>
    <n v="43.4"/>
    <n v="75.92"/>
    <n v="9.64"/>
    <n v="33.229999999999997"/>
    <n v="42.07"/>
    <x v="5"/>
    <x v="0"/>
    <n v="87.28"/>
    <n v="48.39"/>
  </r>
  <r>
    <x v="4"/>
    <x v="3"/>
    <x v="4"/>
    <n v="77.959999999999994"/>
    <n v="69.510000000000005"/>
    <n v="21.76"/>
    <n v="41.93"/>
    <n v="56.36"/>
    <x v="6"/>
    <x v="2"/>
    <n v="69"/>
    <n v="39.549999999999997"/>
  </r>
  <r>
    <x v="4"/>
    <x v="3"/>
    <x v="1"/>
    <n v="20.95"/>
    <n v="26.53"/>
    <n v="5.89"/>
    <n v="2.2799999999999998"/>
    <n v="47.14"/>
    <x v="2"/>
    <x v="2"/>
    <n v="82.45"/>
    <n v="44.86"/>
  </r>
  <r>
    <x v="4"/>
    <x v="4"/>
    <x v="2"/>
    <n v="17.05"/>
    <n v="52.86"/>
    <n v="46.37"/>
    <n v="70.849999999999994"/>
    <n v="79.540000000000006"/>
    <x v="0"/>
    <x v="2"/>
    <n v="83.17"/>
    <n v="45.6"/>
  </r>
  <r>
    <x v="5"/>
    <x v="0"/>
    <x v="5"/>
    <n v="43.55"/>
    <n v="14.89"/>
    <n v="13.87"/>
    <n v="41.09"/>
    <n v="37.81"/>
    <x v="2"/>
    <x v="0"/>
    <n v="86.44"/>
    <n v="35.299999999999997"/>
  </r>
  <r>
    <x v="5"/>
    <x v="0"/>
    <x v="0"/>
    <n v="64.03"/>
    <n v="5.21"/>
    <n v="41.36"/>
    <n v="53.59"/>
    <n v="23.62"/>
    <x v="1"/>
    <x v="0"/>
    <n v="37.89"/>
    <n v="34.26"/>
  </r>
  <r>
    <x v="5"/>
    <x v="0"/>
    <x v="7"/>
    <n v="70.48"/>
    <n v="19.97"/>
    <n v="33.75"/>
    <n v="15.07"/>
    <n v="64.12"/>
    <x v="4"/>
    <x v="0"/>
    <n v="48.13"/>
    <n v="40.32"/>
  </r>
  <r>
    <x v="5"/>
    <x v="0"/>
    <x v="6"/>
    <n v="93.72"/>
    <n v="27.55"/>
    <n v="48.33"/>
    <n v="31.86"/>
    <n v="75.36"/>
    <x v="6"/>
    <x v="0"/>
    <n v="73.23"/>
    <n v="9.67"/>
  </r>
  <r>
    <x v="5"/>
    <x v="0"/>
    <x v="0"/>
    <n v="80.040000000000006"/>
    <n v="36.49"/>
    <n v="29.72"/>
    <n v="76.739999999999995"/>
    <n v="69.010000000000005"/>
    <x v="2"/>
    <x v="0"/>
    <n v="48.27"/>
    <n v="44.8"/>
  </r>
  <r>
    <x v="5"/>
    <x v="1"/>
    <x v="7"/>
    <n v="63.04"/>
    <n v="82.49"/>
    <n v="6.68"/>
    <n v="50.72"/>
    <n v="81.709999999999994"/>
    <x v="1"/>
    <x v="1"/>
    <n v="33.36"/>
    <n v="38.6"/>
  </r>
  <r>
    <x v="5"/>
    <x v="1"/>
    <x v="9"/>
    <n v="45.37"/>
    <n v="48.59"/>
    <n v="47.42"/>
    <n v="40.659999999999997"/>
    <n v="80.62"/>
    <x v="6"/>
    <x v="0"/>
    <n v="74.959999999999994"/>
    <n v="47.48"/>
  </r>
  <r>
    <x v="5"/>
    <x v="2"/>
    <x v="0"/>
    <n v="28.48"/>
    <n v="34.49"/>
    <n v="18.440000000000001"/>
    <n v="23.5"/>
    <n v="35.14"/>
    <x v="1"/>
    <x v="2"/>
    <n v="57.31"/>
    <n v="14.27"/>
  </r>
  <r>
    <x v="5"/>
    <x v="2"/>
    <x v="5"/>
    <n v="68.39"/>
    <n v="34.74"/>
    <n v="1.41"/>
    <n v="68"/>
    <n v="35.049999999999997"/>
    <x v="4"/>
    <x v="2"/>
    <n v="88.43"/>
    <n v="34.83"/>
  </r>
  <r>
    <x v="5"/>
    <x v="3"/>
    <x v="4"/>
    <n v="39.04"/>
    <n v="78.44"/>
    <n v="31.32"/>
    <n v="28.93"/>
    <n v="77.95"/>
    <x v="2"/>
    <x v="2"/>
    <n v="39.630000000000003"/>
    <n v="22.79"/>
  </r>
  <r>
    <x v="5"/>
    <x v="4"/>
    <x v="3"/>
    <n v="50.27"/>
    <n v="17.89"/>
    <n v="6.51"/>
    <n v="30.02"/>
    <n v="20.76"/>
    <x v="0"/>
    <x v="0"/>
    <n v="32.28"/>
    <n v="26.84"/>
  </r>
  <r>
    <x v="5"/>
    <x v="4"/>
    <x v="1"/>
    <n v="55.3"/>
    <n v="67.760000000000005"/>
    <n v="3.21"/>
    <n v="11.15"/>
    <n v="48.72"/>
    <x v="3"/>
    <x v="2"/>
    <n v="58.79"/>
    <n v="45.09"/>
  </r>
  <r>
    <x v="5"/>
    <x v="4"/>
    <x v="5"/>
    <n v="15.2"/>
    <n v="30.75"/>
    <n v="45.44"/>
    <n v="16.62"/>
    <n v="31.27"/>
    <x v="6"/>
    <x v="1"/>
    <n v="61.68"/>
    <n v="14"/>
  </r>
  <r>
    <x v="5"/>
    <x v="4"/>
    <x v="4"/>
    <n v="44.17"/>
    <n v="82.35"/>
    <n v="42.79"/>
    <n v="49.74"/>
    <n v="74.11"/>
    <x v="6"/>
    <x v="1"/>
    <n v="81.95"/>
    <n v="2.4900000000000002"/>
  </r>
  <r>
    <x v="5"/>
    <x v="4"/>
    <x v="2"/>
    <n v="59.85"/>
    <n v="61"/>
    <n v="41.04"/>
    <n v="77.48"/>
    <n v="28.32"/>
    <x v="5"/>
    <x v="0"/>
    <n v="70.17"/>
    <n v="30.75"/>
  </r>
  <r>
    <x v="5"/>
    <x v="4"/>
    <x v="5"/>
    <n v="52.18"/>
    <n v="5.84"/>
    <n v="36.799999999999997"/>
    <n v="60.81"/>
    <n v="42.56"/>
    <x v="4"/>
    <x v="2"/>
    <n v="43.6"/>
    <n v="14.06"/>
  </r>
  <r>
    <x v="5"/>
    <x v="5"/>
    <x v="6"/>
    <n v="32.74"/>
    <n v="25.34"/>
    <n v="9.41"/>
    <n v="33.42"/>
    <n v="73.55"/>
    <x v="1"/>
    <x v="1"/>
    <n v="70.72"/>
    <n v="19.93"/>
  </r>
  <r>
    <x v="5"/>
    <x v="5"/>
    <x v="4"/>
    <n v="16.79"/>
    <n v="8.5"/>
    <n v="28.43"/>
    <n v="65.47"/>
    <n v="23.38"/>
    <x v="3"/>
    <x v="0"/>
    <n v="59.92"/>
    <n v="16.399999999999999"/>
  </r>
  <r>
    <x v="5"/>
    <x v="5"/>
    <x v="6"/>
    <n v="68.209999999999994"/>
    <n v="68.400000000000006"/>
    <n v="9.32"/>
    <n v="57.89"/>
    <n v="61.89"/>
    <x v="5"/>
    <x v="0"/>
    <n v="78.14"/>
    <n v="41.3"/>
  </r>
  <r>
    <x v="5"/>
    <x v="5"/>
    <x v="6"/>
    <n v="33.200000000000003"/>
    <n v="4.3099999999999996"/>
    <n v="14.77"/>
    <n v="66.25"/>
    <n v="81.739999999999995"/>
    <x v="4"/>
    <x v="0"/>
    <n v="49"/>
    <n v="16.850000000000001"/>
  </r>
  <r>
    <x v="5"/>
    <x v="5"/>
    <x v="7"/>
    <n v="67.08"/>
    <n v="80.64"/>
    <n v="26.79"/>
    <n v="15.7"/>
    <n v="59.71"/>
    <x v="6"/>
    <x v="2"/>
    <n v="53.86"/>
    <n v="46.63"/>
  </r>
  <r>
    <x v="5"/>
    <x v="5"/>
    <x v="6"/>
    <n v="76.349999999999994"/>
    <n v="78.989999999999995"/>
    <n v="3.82"/>
    <n v="0.73"/>
    <n v="70.78"/>
    <x v="4"/>
    <x v="1"/>
    <n v="70.39"/>
    <n v="45.49"/>
  </r>
  <r>
    <x v="5"/>
    <x v="5"/>
    <x v="8"/>
    <n v="29.45"/>
    <n v="92.91"/>
    <n v="42.89"/>
    <n v="14.73"/>
    <n v="68.45"/>
    <x v="3"/>
    <x v="0"/>
    <n v="73.819999999999993"/>
    <n v="17.82"/>
  </r>
  <r>
    <x v="5"/>
    <x v="5"/>
    <x v="7"/>
    <n v="46.62"/>
    <n v="72.37"/>
    <n v="22.03"/>
    <n v="31.66"/>
    <n v="35.21"/>
    <x v="3"/>
    <x v="1"/>
    <n v="46.02"/>
    <n v="20.079999999999998"/>
  </r>
  <r>
    <x v="6"/>
    <x v="0"/>
    <x v="6"/>
    <n v="19.03"/>
    <n v="46.6"/>
    <n v="31.81"/>
    <n v="47.63"/>
    <n v="33.97"/>
    <x v="0"/>
    <x v="1"/>
    <n v="78.849999999999994"/>
    <n v="19.079999999999998"/>
  </r>
  <r>
    <x v="6"/>
    <x v="0"/>
    <x v="5"/>
    <n v="34.270000000000003"/>
    <n v="4.1900000000000004"/>
    <n v="28.58"/>
    <n v="23.4"/>
    <n v="24.04"/>
    <x v="0"/>
    <x v="1"/>
    <n v="87.03"/>
    <n v="39.950000000000003"/>
  </r>
  <r>
    <x v="6"/>
    <x v="1"/>
    <x v="7"/>
    <n v="38.42"/>
    <n v="40.78"/>
    <n v="23.06"/>
    <n v="58.05"/>
    <n v="81.05"/>
    <x v="2"/>
    <x v="2"/>
    <n v="80.19"/>
    <n v="25.28"/>
  </r>
  <r>
    <x v="6"/>
    <x v="1"/>
    <x v="5"/>
    <n v="76.22"/>
    <n v="56.66"/>
    <n v="15.67"/>
    <n v="38.03"/>
    <n v="33.049999999999997"/>
    <x v="5"/>
    <x v="1"/>
    <n v="74.86"/>
    <n v="49.08"/>
  </r>
  <r>
    <x v="6"/>
    <x v="2"/>
    <x v="2"/>
    <n v="62.98"/>
    <n v="24.98"/>
    <n v="27.51"/>
    <n v="27.51"/>
    <n v="53.78"/>
    <x v="5"/>
    <x v="2"/>
    <n v="55.93"/>
    <n v="30.55"/>
  </r>
  <r>
    <x v="6"/>
    <x v="2"/>
    <x v="9"/>
    <n v="41.28"/>
    <n v="22.14"/>
    <n v="10.33"/>
    <n v="6.67"/>
    <n v="40.15"/>
    <x v="0"/>
    <x v="1"/>
    <n v="61.31"/>
    <n v="33.26"/>
  </r>
  <r>
    <x v="6"/>
    <x v="2"/>
    <x v="8"/>
    <n v="57.35"/>
    <n v="94.06"/>
    <n v="37.36"/>
    <n v="17.2"/>
    <n v="20.37"/>
    <x v="5"/>
    <x v="0"/>
    <n v="88.69"/>
    <n v="7.53"/>
  </r>
  <r>
    <x v="6"/>
    <x v="2"/>
    <x v="9"/>
    <n v="28.6"/>
    <n v="49.95"/>
    <n v="40.020000000000003"/>
    <n v="32.200000000000003"/>
    <n v="22.45"/>
    <x v="0"/>
    <x v="0"/>
    <n v="51.58"/>
    <n v="29.9"/>
  </r>
  <r>
    <x v="6"/>
    <x v="2"/>
    <x v="2"/>
    <n v="46.79"/>
    <n v="80.92"/>
    <n v="15.36"/>
    <n v="49.09"/>
    <n v="37.15"/>
    <x v="4"/>
    <x v="2"/>
    <n v="33.049999999999997"/>
    <n v="32.61"/>
  </r>
  <r>
    <x v="6"/>
    <x v="2"/>
    <x v="5"/>
    <n v="20.14"/>
    <n v="3.7"/>
    <n v="20.68"/>
    <n v="52.01"/>
    <n v="37.020000000000003"/>
    <x v="5"/>
    <x v="0"/>
    <n v="81.94"/>
    <n v="43.92"/>
  </r>
  <r>
    <x v="6"/>
    <x v="3"/>
    <x v="1"/>
    <n v="12.86"/>
    <n v="5.08"/>
    <n v="18.5"/>
    <n v="20.65"/>
    <n v="75.67"/>
    <x v="1"/>
    <x v="1"/>
    <n v="38.35"/>
    <n v="5.25"/>
  </r>
  <r>
    <x v="6"/>
    <x v="3"/>
    <x v="5"/>
    <n v="71.569999999999993"/>
    <n v="72.400000000000006"/>
    <n v="18.28"/>
    <n v="49.83"/>
    <n v="32.729999999999997"/>
    <x v="0"/>
    <x v="0"/>
    <n v="42.97"/>
    <n v="28.45"/>
  </r>
  <r>
    <x v="6"/>
    <x v="3"/>
    <x v="5"/>
    <n v="27.61"/>
    <n v="14.49"/>
    <n v="35.67"/>
    <n v="18.489999999999998"/>
    <n v="42.88"/>
    <x v="0"/>
    <x v="2"/>
    <n v="30.12"/>
    <n v="42.23"/>
  </r>
  <r>
    <x v="6"/>
    <x v="3"/>
    <x v="9"/>
    <n v="78.569999999999993"/>
    <n v="7.24"/>
    <n v="17.23"/>
    <n v="47.61"/>
    <n v="43.84"/>
    <x v="2"/>
    <x v="1"/>
    <n v="34.520000000000003"/>
    <n v="39.19"/>
  </r>
  <r>
    <x v="6"/>
    <x v="3"/>
    <x v="1"/>
    <n v="72.59"/>
    <n v="51.37"/>
    <n v="40.299999999999997"/>
    <n v="3.84"/>
    <n v="72.92"/>
    <x v="0"/>
    <x v="0"/>
    <n v="76.92"/>
    <n v="27.59"/>
  </r>
  <r>
    <x v="6"/>
    <x v="4"/>
    <x v="8"/>
    <n v="67.94"/>
    <n v="96.81"/>
    <n v="8.84"/>
    <n v="51.06"/>
    <n v="23.04"/>
    <x v="4"/>
    <x v="1"/>
    <n v="33.159999999999997"/>
    <n v="7.6"/>
  </r>
  <r>
    <x v="6"/>
    <x v="4"/>
    <x v="9"/>
    <n v="82.72"/>
    <n v="17.97"/>
    <n v="23.56"/>
    <n v="50.08"/>
    <n v="24.06"/>
    <x v="2"/>
    <x v="2"/>
    <n v="77.959999999999994"/>
    <n v="5.46"/>
  </r>
  <r>
    <x v="6"/>
    <x v="4"/>
    <x v="1"/>
    <n v="88.16"/>
    <n v="14.83"/>
    <n v="2.86"/>
    <n v="26.45"/>
    <n v="47.53"/>
    <x v="1"/>
    <x v="0"/>
    <n v="59.28"/>
    <n v="20.74"/>
  </r>
  <r>
    <x v="6"/>
    <x v="5"/>
    <x v="6"/>
    <n v="44.97"/>
    <n v="43.93"/>
    <n v="32.93"/>
    <n v="18.559999999999999"/>
    <n v="24.81"/>
    <x v="4"/>
    <x v="0"/>
    <n v="54.38"/>
    <n v="46.37"/>
  </r>
  <r>
    <x v="6"/>
    <x v="5"/>
    <x v="6"/>
    <n v="35.909999999999997"/>
    <n v="2.25"/>
    <n v="48.37"/>
    <n v="71.069999999999993"/>
    <n v="68.44"/>
    <x v="5"/>
    <x v="0"/>
    <n v="85.92"/>
    <n v="33.33"/>
  </r>
  <r>
    <x v="6"/>
    <x v="5"/>
    <x v="0"/>
    <n v="92.96"/>
    <n v="44.86"/>
    <n v="14.64"/>
    <n v="25.17"/>
    <n v="68.19"/>
    <x v="5"/>
    <x v="2"/>
    <n v="76.16"/>
    <n v="9.4700000000000006"/>
  </r>
  <r>
    <x v="6"/>
    <x v="5"/>
    <x v="9"/>
    <n v="91.67"/>
    <n v="90.28"/>
    <n v="49.65"/>
    <n v="26.79"/>
    <n v="25.29"/>
    <x v="4"/>
    <x v="2"/>
    <n v="38.75"/>
    <n v="20.54"/>
  </r>
  <r>
    <x v="7"/>
    <x v="0"/>
    <x v="0"/>
    <n v="30.94"/>
    <n v="82.97"/>
    <n v="37.08"/>
    <n v="60.61"/>
    <n v="56.01"/>
    <x v="6"/>
    <x v="1"/>
    <n v="85.1"/>
    <n v="38.380000000000003"/>
  </r>
  <r>
    <x v="7"/>
    <x v="0"/>
    <x v="6"/>
    <n v="12.97"/>
    <n v="76.22"/>
    <n v="33.17"/>
    <n v="75.91"/>
    <n v="27.28"/>
    <x v="6"/>
    <x v="1"/>
    <n v="64"/>
    <n v="35.4"/>
  </r>
  <r>
    <x v="7"/>
    <x v="0"/>
    <x v="3"/>
    <n v="18.91"/>
    <n v="57.4"/>
    <n v="40.53"/>
    <n v="49.28"/>
    <n v="82.93"/>
    <x v="5"/>
    <x v="2"/>
    <n v="68.44"/>
    <n v="12.68"/>
  </r>
  <r>
    <x v="7"/>
    <x v="0"/>
    <x v="7"/>
    <n v="43.12"/>
    <n v="42.47"/>
    <n v="17.260000000000002"/>
    <n v="26.12"/>
    <n v="38.6"/>
    <x v="2"/>
    <x v="0"/>
    <n v="65.569999999999993"/>
    <n v="10.43"/>
  </r>
  <r>
    <x v="7"/>
    <x v="0"/>
    <x v="2"/>
    <n v="10.53"/>
    <n v="20.97"/>
    <n v="23.64"/>
    <n v="34.270000000000003"/>
    <n v="45.67"/>
    <x v="4"/>
    <x v="0"/>
    <n v="58.52"/>
    <n v="33.369999999999997"/>
  </r>
  <r>
    <x v="7"/>
    <x v="1"/>
    <x v="1"/>
    <n v="44.99"/>
    <n v="7.7"/>
    <n v="18.149999999999999"/>
    <n v="52.91"/>
    <n v="80.25"/>
    <x v="2"/>
    <x v="0"/>
    <n v="32.020000000000003"/>
    <n v="48.91"/>
  </r>
  <r>
    <x v="7"/>
    <x v="1"/>
    <x v="2"/>
    <n v="67.97"/>
    <n v="38.18"/>
    <n v="21.57"/>
    <n v="17.600000000000001"/>
    <n v="20.43"/>
    <x v="5"/>
    <x v="0"/>
    <n v="46.5"/>
    <n v="20.88"/>
  </r>
  <r>
    <x v="7"/>
    <x v="1"/>
    <x v="2"/>
    <n v="53.76"/>
    <n v="94.77"/>
    <n v="4.08"/>
    <n v="31.27"/>
    <n v="32.229999999999997"/>
    <x v="6"/>
    <x v="1"/>
    <n v="51.34"/>
    <n v="1.18"/>
  </r>
  <r>
    <x v="7"/>
    <x v="2"/>
    <x v="5"/>
    <n v="44.29"/>
    <n v="33.090000000000003"/>
    <n v="16.77"/>
    <n v="46.12"/>
    <n v="74.790000000000006"/>
    <x v="6"/>
    <x v="2"/>
    <n v="40.770000000000003"/>
    <n v="18.73"/>
  </r>
  <r>
    <x v="7"/>
    <x v="2"/>
    <x v="4"/>
    <n v="74.66"/>
    <n v="26.14"/>
    <n v="8.89"/>
    <n v="6.35"/>
    <n v="58.99"/>
    <x v="0"/>
    <x v="1"/>
    <n v="83.38"/>
    <n v="29.08"/>
  </r>
  <r>
    <x v="7"/>
    <x v="3"/>
    <x v="1"/>
    <n v="74.81"/>
    <n v="54.67"/>
    <n v="22.3"/>
    <n v="52.34"/>
    <n v="84.8"/>
    <x v="4"/>
    <x v="1"/>
    <n v="42.06"/>
    <n v="11.7"/>
  </r>
  <r>
    <x v="7"/>
    <x v="3"/>
    <x v="8"/>
    <n v="75.42"/>
    <n v="24.03"/>
    <n v="28.82"/>
    <n v="42.27"/>
    <n v="54.72"/>
    <x v="4"/>
    <x v="1"/>
    <n v="74.849999999999994"/>
    <n v="11.26"/>
  </r>
  <r>
    <x v="7"/>
    <x v="3"/>
    <x v="3"/>
    <n v="83.74"/>
    <n v="19.68"/>
    <n v="33.549999999999997"/>
    <n v="1.75"/>
    <n v="64.790000000000006"/>
    <x v="2"/>
    <x v="0"/>
    <n v="70.63"/>
    <n v="46.78"/>
  </r>
  <r>
    <x v="7"/>
    <x v="4"/>
    <x v="6"/>
    <n v="26.63"/>
    <n v="95.37"/>
    <n v="49.58"/>
    <n v="1.75"/>
    <n v="72.349999999999994"/>
    <x v="5"/>
    <x v="2"/>
    <n v="53.62"/>
    <n v="48.53"/>
  </r>
  <r>
    <x v="7"/>
    <x v="4"/>
    <x v="5"/>
    <n v="25.98"/>
    <n v="52.9"/>
    <n v="16.059999999999999"/>
    <n v="11.74"/>
    <n v="47.03"/>
    <x v="0"/>
    <x v="2"/>
    <n v="55.83"/>
    <n v="42.56"/>
  </r>
  <r>
    <x v="7"/>
    <x v="4"/>
    <x v="8"/>
    <n v="57.15"/>
    <n v="92.02"/>
    <n v="29.64"/>
    <n v="73.89"/>
    <n v="81.93"/>
    <x v="1"/>
    <x v="0"/>
    <n v="60.67"/>
    <n v="37.770000000000003"/>
  </r>
  <r>
    <x v="7"/>
    <x v="5"/>
    <x v="2"/>
    <n v="44.1"/>
    <n v="87.85"/>
    <n v="39.96"/>
    <n v="33.44"/>
    <n v="72.72"/>
    <x v="5"/>
    <x v="1"/>
    <n v="76.739999999999995"/>
    <n v="40.98"/>
  </r>
  <r>
    <x v="7"/>
    <x v="5"/>
    <x v="8"/>
    <n v="52.86"/>
    <n v="10.91"/>
    <n v="17.3"/>
    <n v="57.82"/>
    <n v="45.95"/>
    <x v="6"/>
    <x v="1"/>
    <n v="79.040000000000006"/>
    <n v="4.09"/>
  </r>
  <r>
    <x v="7"/>
    <x v="5"/>
    <x v="2"/>
    <n v="86.58"/>
    <n v="20.96"/>
    <n v="24.08"/>
    <n v="2.4900000000000002"/>
    <n v="84.48"/>
    <x v="0"/>
    <x v="2"/>
    <n v="60.05"/>
    <n v="42.29"/>
  </r>
  <r>
    <x v="7"/>
    <x v="5"/>
    <x v="4"/>
    <n v="81.86"/>
    <n v="35.53"/>
    <n v="28.46"/>
    <n v="7.11"/>
    <n v="63.48"/>
    <x v="2"/>
    <x v="0"/>
    <n v="31.33"/>
    <n v="11.61"/>
  </r>
  <r>
    <x v="8"/>
    <x v="0"/>
    <x v="8"/>
    <n v="50.34"/>
    <n v="50.7"/>
    <n v="1.04"/>
    <n v="0.57999999999999996"/>
    <n v="68.069999999999993"/>
    <x v="3"/>
    <x v="2"/>
    <n v="37.36"/>
    <n v="28.87"/>
  </r>
  <r>
    <x v="8"/>
    <x v="0"/>
    <x v="7"/>
    <n v="70.59"/>
    <n v="64.569999999999993"/>
    <n v="23.88"/>
    <n v="69.349999999999994"/>
    <n v="55.02"/>
    <x v="0"/>
    <x v="1"/>
    <n v="89.88"/>
    <n v="4.47"/>
  </r>
  <r>
    <x v="8"/>
    <x v="0"/>
    <x v="7"/>
    <n v="67.489999999999995"/>
    <n v="35.369999999999997"/>
    <n v="37.69"/>
    <n v="49.79"/>
    <n v="53.15"/>
    <x v="4"/>
    <x v="0"/>
    <n v="35.56"/>
    <n v="47.38"/>
  </r>
  <r>
    <x v="8"/>
    <x v="0"/>
    <x v="0"/>
    <n v="63.03"/>
    <n v="26.18"/>
    <n v="31.41"/>
    <n v="57.91"/>
    <n v="63.9"/>
    <x v="5"/>
    <x v="1"/>
    <n v="83.66"/>
    <n v="6.21"/>
  </r>
  <r>
    <x v="8"/>
    <x v="0"/>
    <x v="3"/>
    <n v="88.23"/>
    <n v="20.18"/>
    <n v="17.850000000000001"/>
    <n v="10.99"/>
    <n v="85.27"/>
    <x v="0"/>
    <x v="0"/>
    <n v="32.96"/>
    <n v="32.229999999999997"/>
  </r>
  <r>
    <x v="8"/>
    <x v="1"/>
    <x v="4"/>
    <n v="88.38"/>
    <n v="12.43"/>
    <n v="23.7"/>
    <n v="52.51"/>
    <n v="59.75"/>
    <x v="4"/>
    <x v="0"/>
    <n v="54.27"/>
    <n v="48.93"/>
  </r>
  <r>
    <x v="8"/>
    <x v="1"/>
    <x v="0"/>
    <n v="46.44"/>
    <n v="26.16"/>
    <n v="49.1"/>
    <n v="64.98"/>
    <n v="52.91"/>
    <x v="5"/>
    <x v="2"/>
    <n v="68.319999999999993"/>
    <n v="34.39"/>
  </r>
  <r>
    <x v="8"/>
    <x v="1"/>
    <x v="7"/>
    <n v="21.57"/>
    <n v="77.010000000000005"/>
    <n v="32.520000000000003"/>
    <n v="13.61"/>
    <n v="37.65"/>
    <x v="2"/>
    <x v="2"/>
    <n v="33.61"/>
    <n v="18.87"/>
  </r>
  <r>
    <x v="8"/>
    <x v="2"/>
    <x v="0"/>
    <n v="80.83"/>
    <n v="67.55"/>
    <n v="42.39"/>
    <n v="51.87"/>
    <n v="74.39"/>
    <x v="3"/>
    <x v="2"/>
    <n v="33.56"/>
    <n v="21.66"/>
  </r>
  <r>
    <x v="8"/>
    <x v="2"/>
    <x v="4"/>
    <n v="89.74"/>
    <n v="15.64"/>
    <n v="10.14"/>
    <n v="3.8"/>
    <n v="33.44"/>
    <x v="5"/>
    <x v="0"/>
    <n v="42.99"/>
    <n v="32.229999999999997"/>
  </r>
  <r>
    <x v="8"/>
    <x v="2"/>
    <x v="1"/>
    <n v="73.89"/>
    <n v="16.63"/>
    <n v="47.25"/>
    <n v="68.91"/>
    <n v="60.15"/>
    <x v="2"/>
    <x v="2"/>
    <n v="34.4"/>
    <n v="27.19"/>
  </r>
  <r>
    <x v="8"/>
    <x v="2"/>
    <x v="0"/>
    <n v="11.99"/>
    <n v="28"/>
    <n v="21.71"/>
    <n v="5.14"/>
    <n v="66.59"/>
    <x v="1"/>
    <x v="1"/>
    <n v="41.71"/>
    <n v="5.19"/>
  </r>
  <r>
    <x v="8"/>
    <x v="2"/>
    <x v="4"/>
    <n v="30.18"/>
    <n v="97.54"/>
    <n v="18.39"/>
    <n v="14.76"/>
    <n v="49.67"/>
    <x v="5"/>
    <x v="0"/>
    <n v="89.76"/>
    <n v="12.56"/>
  </r>
  <r>
    <x v="8"/>
    <x v="3"/>
    <x v="4"/>
    <n v="91.27"/>
    <n v="33.869999999999997"/>
    <n v="41.67"/>
    <n v="56.26"/>
    <n v="59.93"/>
    <x v="2"/>
    <x v="0"/>
    <n v="46.98"/>
    <n v="28.51"/>
  </r>
  <r>
    <x v="8"/>
    <x v="3"/>
    <x v="7"/>
    <n v="82.82"/>
    <n v="75.53"/>
    <n v="22.34"/>
    <n v="1.44"/>
    <n v="40.39"/>
    <x v="5"/>
    <x v="2"/>
    <n v="36.479999999999997"/>
    <n v="17.29"/>
  </r>
  <r>
    <x v="8"/>
    <x v="4"/>
    <x v="4"/>
    <n v="77.52"/>
    <n v="3.4"/>
    <n v="14.58"/>
    <n v="67.900000000000006"/>
    <n v="66.23"/>
    <x v="1"/>
    <x v="0"/>
    <n v="31.46"/>
    <n v="41.11"/>
  </r>
  <r>
    <x v="8"/>
    <x v="4"/>
    <x v="0"/>
    <n v="82.54"/>
    <n v="71.06"/>
    <n v="44.65"/>
    <n v="28.93"/>
    <n v="39.83"/>
    <x v="1"/>
    <x v="1"/>
    <n v="33.51"/>
    <n v="49.28"/>
  </r>
  <r>
    <x v="8"/>
    <x v="5"/>
    <x v="9"/>
    <n v="64.87"/>
    <n v="49.04"/>
    <n v="36.31"/>
    <n v="38.159999999999997"/>
    <n v="82.41"/>
    <x v="3"/>
    <x v="1"/>
    <n v="78.14"/>
    <n v="20.54"/>
  </r>
  <r>
    <x v="8"/>
    <x v="5"/>
    <x v="4"/>
    <n v="28.27"/>
    <n v="3.98"/>
    <n v="3.19"/>
    <n v="6.12"/>
    <n v="49.89"/>
    <x v="5"/>
    <x v="1"/>
    <n v="54.77"/>
    <n v="4.4000000000000004"/>
  </r>
  <r>
    <x v="8"/>
    <x v="5"/>
    <x v="2"/>
    <n v="83.85"/>
    <n v="7"/>
    <n v="22.88"/>
    <n v="59.43"/>
    <n v="66.73"/>
    <x v="3"/>
    <x v="1"/>
    <n v="43.37"/>
    <n v="21.52"/>
  </r>
  <r>
    <x v="9"/>
    <x v="0"/>
    <x v="6"/>
    <n v="26.12"/>
    <n v="73.78"/>
    <n v="21.51"/>
    <n v="22.63"/>
    <n v="65.41"/>
    <x v="5"/>
    <x v="2"/>
    <n v="44.56"/>
    <n v="3.46"/>
  </r>
  <r>
    <x v="9"/>
    <x v="0"/>
    <x v="5"/>
    <n v="27.5"/>
    <n v="23.67"/>
    <n v="2.21"/>
    <n v="56.52"/>
    <n v="60.77"/>
    <x v="0"/>
    <x v="2"/>
    <n v="36.75"/>
    <n v="12.56"/>
  </r>
  <r>
    <x v="9"/>
    <x v="0"/>
    <x v="3"/>
    <n v="36.520000000000003"/>
    <n v="4.2"/>
    <n v="25.53"/>
    <n v="71.010000000000005"/>
    <n v="21.92"/>
    <x v="6"/>
    <x v="0"/>
    <n v="84.9"/>
    <n v="29.93"/>
  </r>
  <r>
    <x v="9"/>
    <x v="1"/>
    <x v="6"/>
    <n v="66.95"/>
    <n v="47.72"/>
    <n v="0.86"/>
    <n v="27.58"/>
    <n v="64.42"/>
    <x v="2"/>
    <x v="1"/>
    <n v="68.14"/>
    <n v="8.09"/>
  </r>
  <r>
    <x v="9"/>
    <x v="1"/>
    <x v="9"/>
    <n v="83.4"/>
    <n v="66.33"/>
    <n v="24.27"/>
    <n v="34.950000000000003"/>
    <n v="47.21"/>
    <x v="0"/>
    <x v="0"/>
    <n v="47.81"/>
    <n v="47.4"/>
  </r>
  <r>
    <x v="9"/>
    <x v="1"/>
    <x v="4"/>
    <n v="67.180000000000007"/>
    <n v="7.92"/>
    <n v="40.549999999999997"/>
    <n v="52.54"/>
    <n v="50.3"/>
    <x v="3"/>
    <x v="0"/>
    <n v="73.150000000000006"/>
    <n v="8.66"/>
  </r>
  <r>
    <x v="9"/>
    <x v="1"/>
    <x v="1"/>
    <n v="56.81"/>
    <n v="56.52"/>
    <n v="15.98"/>
    <n v="69.17"/>
    <n v="51.21"/>
    <x v="5"/>
    <x v="1"/>
    <n v="54.41"/>
    <n v="20.22"/>
  </r>
  <r>
    <x v="9"/>
    <x v="1"/>
    <x v="7"/>
    <n v="73.11"/>
    <n v="98.77"/>
    <n v="38.22"/>
    <n v="67.17"/>
    <n v="87.65"/>
    <x v="3"/>
    <x v="1"/>
    <n v="31.54"/>
    <n v="31.14"/>
  </r>
  <r>
    <x v="9"/>
    <x v="1"/>
    <x v="7"/>
    <n v="87.79"/>
    <n v="40.86"/>
    <n v="28.82"/>
    <n v="74.040000000000006"/>
    <n v="70.58"/>
    <x v="4"/>
    <x v="2"/>
    <n v="60.03"/>
    <n v="12.22"/>
  </r>
  <r>
    <x v="9"/>
    <x v="2"/>
    <x v="0"/>
    <n v="81.06"/>
    <n v="96.13"/>
    <n v="10.66"/>
    <n v="45.6"/>
    <n v="39.659999999999997"/>
    <x v="4"/>
    <x v="0"/>
    <n v="54.47"/>
    <n v="22.76"/>
  </r>
  <r>
    <x v="9"/>
    <x v="2"/>
    <x v="9"/>
    <n v="44.61"/>
    <n v="26.16"/>
    <n v="49.34"/>
    <n v="58.53"/>
    <n v="75.290000000000006"/>
    <x v="4"/>
    <x v="0"/>
    <n v="32.96"/>
    <n v="43.24"/>
  </r>
  <r>
    <x v="9"/>
    <x v="2"/>
    <x v="4"/>
    <n v="93"/>
    <n v="42.7"/>
    <n v="12.92"/>
    <n v="55.65"/>
    <n v="51"/>
    <x v="2"/>
    <x v="1"/>
    <n v="47.34"/>
    <n v="21.16"/>
  </r>
  <r>
    <x v="9"/>
    <x v="3"/>
    <x v="6"/>
    <n v="11.94"/>
    <n v="91.59"/>
    <n v="26.28"/>
    <n v="73.930000000000007"/>
    <n v="57.55"/>
    <x v="3"/>
    <x v="0"/>
    <n v="65.790000000000006"/>
    <n v="29.3"/>
  </r>
  <r>
    <x v="9"/>
    <x v="3"/>
    <x v="3"/>
    <n v="83.2"/>
    <n v="4.8499999999999996"/>
    <n v="40.840000000000003"/>
    <n v="22.58"/>
    <n v="82.54"/>
    <x v="6"/>
    <x v="0"/>
    <n v="76.14"/>
    <n v="35.299999999999997"/>
  </r>
  <r>
    <x v="9"/>
    <x v="4"/>
    <x v="1"/>
    <n v="32"/>
    <n v="44.26"/>
    <n v="0.09"/>
    <n v="40.67"/>
    <n v="32.979999999999997"/>
    <x v="6"/>
    <x v="2"/>
    <n v="60.99"/>
    <n v="22.31"/>
  </r>
  <r>
    <x v="9"/>
    <x v="5"/>
    <x v="4"/>
    <n v="49.71"/>
    <n v="50.19"/>
    <n v="14.09"/>
    <n v="12.41"/>
    <n v="40.18"/>
    <x v="4"/>
    <x v="0"/>
    <n v="57.05"/>
    <n v="5.76"/>
  </r>
  <r>
    <x v="9"/>
    <x v="5"/>
    <x v="5"/>
    <n v="33.229999999999997"/>
    <n v="75.510000000000005"/>
    <n v="12.61"/>
    <n v="63.58"/>
    <n v="77.34"/>
    <x v="1"/>
    <x v="1"/>
    <n v="48.51"/>
    <n v="4.66"/>
  </r>
  <r>
    <x v="9"/>
    <x v="5"/>
    <x v="6"/>
    <n v="26.57"/>
    <n v="38.869999999999997"/>
    <n v="16.329999999999998"/>
    <n v="27.7"/>
    <n v="77.03"/>
    <x v="0"/>
    <x v="0"/>
    <n v="76.47"/>
    <n v="16.73"/>
  </r>
  <r>
    <x v="9"/>
    <x v="5"/>
    <x v="1"/>
    <n v="45.3"/>
    <n v="42.81"/>
    <n v="3.03"/>
    <n v="24.96"/>
    <n v="78.13"/>
    <x v="6"/>
    <x v="0"/>
    <n v="66.28"/>
    <n v="10.51"/>
  </r>
  <r>
    <x v="9"/>
    <x v="5"/>
    <x v="6"/>
    <n v="38.21"/>
    <n v="1.04"/>
    <n v="36.85"/>
    <n v="8.52"/>
    <n v="24.88"/>
    <x v="0"/>
    <x v="1"/>
    <n v="39.31"/>
    <n v="11.84"/>
  </r>
  <r>
    <x v="9"/>
    <x v="5"/>
    <x v="4"/>
    <n v="29.49"/>
    <n v="33.14"/>
    <n v="13.89"/>
    <n v="4.1900000000000004"/>
    <n v="46.4"/>
    <x v="6"/>
    <x v="2"/>
    <n v="53.68"/>
    <n v="43.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BB23E3-0089-4C60-B8D3-5816BA5946E2}"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2">
    <pivotField showAll="0">
      <items count="11">
        <item x="0"/>
        <item x="1"/>
        <item x="2"/>
        <item x="3"/>
        <item x="4"/>
        <item x="5"/>
        <item x="6"/>
        <item x="7"/>
        <item x="8"/>
        <item x="9"/>
        <item t="default"/>
      </items>
    </pivotField>
    <pivotField showAll="0">
      <items count="7">
        <item x="0"/>
        <item x="1"/>
        <item x="2"/>
        <item x="3"/>
        <item x="4"/>
        <item x="5"/>
        <item t="default"/>
      </items>
    </pivotField>
    <pivotField showAll="0"/>
    <pivotField dataField="1" showAll="0"/>
    <pivotField showAll="0"/>
    <pivotField showAll="0"/>
    <pivotField dataField="1" showAll="0"/>
    <pivotField dataField="1" showAll="0"/>
    <pivotField showAll="0"/>
    <pivotField showAll="0"/>
    <pivotField showAll="0"/>
    <pivotField showAll="0"/>
  </pivotFields>
  <rowItems count="1">
    <i/>
  </rowItems>
  <colFields count="1">
    <field x="-2"/>
  </colFields>
  <colItems count="3">
    <i>
      <x/>
    </i>
    <i i="1">
      <x v="1"/>
    </i>
    <i i="2">
      <x v="2"/>
    </i>
  </colItems>
  <dataFields count="3">
    <dataField name="Average of AI Adoption Rate (%)" fld="3" subtotal="average" baseField="0" baseItem="1"/>
    <dataField name="Average of Revenue Increase Due to AI (%)" fld="6" subtotal="average" baseField="0" baseItem="1"/>
    <dataField name="Average of Human-AI Collaboration Rate (%)" fld="7" subtotal="average" baseField="0" baseItem="1"/>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DB5D35-8F4E-4650-A869-13D57181BE3B}" name="AdoptionRat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rowHeaderCaption="Industry">
  <location ref="A3:B13" firstHeaderRow="1" firstDataRow="1" firstDataCol="1"/>
  <pivotFields count="12">
    <pivotField showAll="0">
      <items count="11">
        <item x="0"/>
        <item x="1"/>
        <item x="2"/>
        <item x="3"/>
        <item x="4"/>
        <item x="5"/>
        <item x="6"/>
        <item x="7"/>
        <item x="8"/>
        <item x="9"/>
        <item t="default"/>
      </items>
    </pivotField>
    <pivotField showAll="0">
      <items count="7">
        <item x="0"/>
        <item x="1"/>
        <item x="2"/>
        <item x="3"/>
        <item x="4"/>
        <item x="5"/>
        <item t="default"/>
      </items>
    </pivotField>
    <pivotField axis="axisRow" showAll="0" sortType="ascending">
      <items count="11">
        <item x="0"/>
        <item x="7"/>
        <item x="3"/>
        <item x="4"/>
        <item x="2"/>
        <item x="8"/>
        <item x="9"/>
        <item x="1"/>
        <item x="5"/>
        <item x="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s>
  <rowFields count="1">
    <field x="2"/>
  </rowFields>
  <rowItems count="10">
    <i>
      <x v="8"/>
    </i>
    <i>
      <x v="9"/>
    </i>
    <i>
      <x v="7"/>
    </i>
    <i>
      <x/>
    </i>
    <i>
      <x v="4"/>
    </i>
    <i>
      <x v="2"/>
    </i>
    <i>
      <x v="5"/>
    </i>
    <i>
      <x v="6"/>
    </i>
    <i>
      <x v="1"/>
    </i>
    <i>
      <x v="3"/>
    </i>
  </rowItems>
  <colItems count="1">
    <i/>
  </colItems>
  <dataFields count="1">
    <dataField name="Average of AI Adoption Rate (%)" fld="3" subtotal="average" baseField="2" baseItem="0"/>
  </dataFields>
  <formats count="1">
    <format dxfId="3">
      <pivotArea collapsedLevelsAreSubtotals="1" fieldPosition="0">
        <references count="1">
          <reference field="2" count="0"/>
        </references>
      </pivotArea>
    </format>
  </formats>
  <chartFormats count="5">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BF0845-1DF1-4100-9825-CC5A2AF373F2}" name="ConsumerTrus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3:B10" firstHeaderRow="1" firstDataRow="1" firstDataCol="1"/>
  <pivotFields count="12">
    <pivotField showAll="0">
      <items count="11">
        <item x="0"/>
        <item x="1"/>
        <item x="2"/>
        <item x="3"/>
        <item x="4"/>
        <item x="5"/>
        <item x="6"/>
        <item x="7"/>
        <item x="8"/>
        <item x="9"/>
        <item t="default"/>
      </items>
    </pivotField>
    <pivotField showAll="0">
      <items count="7">
        <item x="0"/>
        <item x="1"/>
        <item x="2"/>
        <item x="3"/>
        <item x="4"/>
        <item x="5"/>
        <item t="default"/>
      </items>
    </pivotField>
    <pivotField showAll="0">
      <items count="11">
        <item x="0"/>
        <item x="7"/>
        <item x="3"/>
        <item x="4"/>
        <item x="2"/>
        <item x="8"/>
        <item x="9"/>
        <item x="1"/>
        <item x="5"/>
        <item x="6"/>
        <item t="default"/>
      </items>
    </pivotField>
    <pivotField showAll="0"/>
    <pivotField showAll="0"/>
    <pivotField showAll="0"/>
    <pivotField showAll="0"/>
    <pivotField showAll="0"/>
    <pivotField axis="axisRow" showAll="0">
      <items count="8">
        <item x="6"/>
        <item x="2"/>
        <item x="0"/>
        <item x="1"/>
        <item x="5"/>
        <item x="4"/>
        <item x="3"/>
        <item t="default"/>
      </items>
    </pivotField>
    <pivotField showAll="0">
      <items count="4">
        <item x="1"/>
        <item x="0"/>
        <item x="2"/>
        <item t="default"/>
      </items>
    </pivotField>
    <pivotField dataField="1" showAll="0"/>
    <pivotField showAll="0"/>
  </pivotFields>
  <rowFields count="1">
    <field x="8"/>
  </rowFields>
  <rowItems count="7">
    <i>
      <x/>
    </i>
    <i>
      <x v="1"/>
    </i>
    <i>
      <x v="2"/>
    </i>
    <i>
      <x v="3"/>
    </i>
    <i>
      <x v="4"/>
    </i>
    <i>
      <x v="5"/>
    </i>
    <i>
      <x v="6"/>
    </i>
  </rowItems>
  <colItems count="1">
    <i/>
  </colItems>
  <dataFields count="1">
    <dataField name="Average of Consumer Trust in AI (%)" fld="10" subtotal="average" baseField="8" baseItem="0"/>
  </dataFields>
  <formats count="1">
    <format dxfId="2">
      <pivotArea collapsedLevelsAreSubtotals="1" fieldPosition="0">
        <references count="1">
          <reference field="8" count="0"/>
        </references>
      </pivotArea>
    </format>
  </formats>
  <chartFormats count="24">
    <chartFormat chart="9" format="0"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 chart="18" format="10">
      <pivotArea type="data" outline="0" fieldPosition="0">
        <references count="2">
          <reference field="4294967294" count="1" selected="0">
            <x v="0"/>
          </reference>
          <reference field="8" count="1" selected="0">
            <x v="0"/>
          </reference>
        </references>
      </pivotArea>
    </chartFormat>
    <chartFormat chart="18" format="11">
      <pivotArea type="data" outline="0" fieldPosition="0">
        <references count="2">
          <reference field="4294967294" count="1" selected="0">
            <x v="0"/>
          </reference>
          <reference field="8" count="1" selected="0">
            <x v="1"/>
          </reference>
        </references>
      </pivotArea>
    </chartFormat>
    <chartFormat chart="18" format="12">
      <pivotArea type="data" outline="0" fieldPosition="0">
        <references count="2">
          <reference field="4294967294" count="1" selected="0">
            <x v="0"/>
          </reference>
          <reference field="8" count="1" selected="0">
            <x v="2"/>
          </reference>
        </references>
      </pivotArea>
    </chartFormat>
    <chartFormat chart="18" format="13">
      <pivotArea type="data" outline="0" fieldPosition="0">
        <references count="2">
          <reference field="4294967294" count="1" selected="0">
            <x v="0"/>
          </reference>
          <reference field="8" count="1" selected="0">
            <x v="3"/>
          </reference>
        </references>
      </pivotArea>
    </chartFormat>
    <chartFormat chart="18" format="14">
      <pivotArea type="data" outline="0" fieldPosition="0">
        <references count="2">
          <reference field="4294967294" count="1" selected="0">
            <x v="0"/>
          </reference>
          <reference field="8" count="1" selected="0">
            <x v="4"/>
          </reference>
        </references>
      </pivotArea>
    </chartFormat>
    <chartFormat chart="18" format="15">
      <pivotArea type="data" outline="0" fieldPosition="0">
        <references count="2">
          <reference field="4294967294" count="1" selected="0">
            <x v="0"/>
          </reference>
          <reference field="8" count="1" selected="0">
            <x v="5"/>
          </reference>
        </references>
      </pivotArea>
    </chartFormat>
    <chartFormat chart="18" format="16">
      <pivotArea type="data" outline="0" fieldPosition="0">
        <references count="2">
          <reference field="4294967294" count="1" selected="0">
            <x v="0"/>
          </reference>
          <reference field="8" count="1" selected="0">
            <x v="6"/>
          </reference>
        </references>
      </pivotArea>
    </chartFormat>
    <chartFormat chart="9" format="1">
      <pivotArea type="data" outline="0" fieldPosition="0">
        <references count="2">
          <reference field="4294967294" count="1" selected="0">
            <x v="0"/>
          </reference>
          <reference field="8" count="1" selected="0">
            <x v="0"/>
          </reference>
        </references>
      </pivotArea>
    </chartFormat>
    <chartFormat chart="9" format="2">
      <pivotArea type="data" outline="0" fieldPosition="0">
        <references count="2">
          <reference field="4294967294" count="1" selected="0">
            <x v="0"/>
          </reference>
          <reference field="8" count="1" selected="0">
            <x v="1"/>
          </reference>
        </references>
      </pivotArea>
    </chartFormat>
    <chartFormat chart="9" format="3">
      <pivotArea type="data" outline="0" fieldPosition="0">
        <references count="2">
          <reference field="4294967294" count="1" selected="0">
            <x v="0"/>
          </reference>
          <reference field="8" count="1" selected="0">
            <x v="2"/>
          </reference>
        </references>
      </pivotArea>
    </chartFormat>
    <chartFormat chart="9" format="4">
      <pivotArea type="data" outline="0" fieldPosition="0">
        <references count="2">
          <reference field="4294967294" count="1" selected="0">
            <x v="0"/>
          </reference>
          <reference field="8" count="1" selected="0">
            <x v="3"/>
          </reference>
        </references>
      </pivotArea>
    </chartFormat>
    <chartFormat chart="9" format="5">
      <pivotArea type="data" outline="0" fieldPosition="0">
        <references count="2">
          <reference field="4294967294" count="1" selected="0">
            <x v="0"/>
          </reference>
          <reference field="8" count="1" selected="0">
            <x v="4"/>
          </reference>
        </references>
      </pivotArea>
    </chartFormat>
    <chartFormat chart="9" format="6">
      <pivotArea type="data" outline="0" fieldPosition="0">
        <references count="2">
          <reference field="4294967294" count="1" selected="0">
            <x v="0"/>
          </reference>
          <reference field="8" count="1" selected="0">
            <x v="6"/>
          </reference>
        </references>
      </pivotArea>
    </chartFormat>
    <chartFormat chart="9" format="7">
      <pivotArea type="data" outline="0" fieldPosition="0">
        <references count="2">
          <reference field="4294967294" count="1" selected="0">
            <x v="0"/>
          </reference>
          <reference field="8" count="1" selected="0">
            <x v="5"/>
          </reference>
        </references>
      </pivotArea>
    </chartFormat>
    <chartFormat chart="26" format="16" series="1">
      <pivotArea type="data" outline="0" fieldPosition="0">
        <references count="1">
          <reference field="4294967294" count="1" selected="0">
            <x v="0"/>
          </reference>
        </references>
      </pivotArea>
    </chartFormat>
    <chartFormat chart="26" format="17">
      <pivotArea type="data" outline="0" fieldPosition="0">
        <references count="2">
          <reference field="4294967294" count="1" selected="0">
            <x v="0"/>
          </reference>
          <reference field="8" count="1" selected="0">
            <x v="0"/>
          </reference>
        </references>
      </pivotArea>
    </chartFormat>
    <chartFormat chart="26" format="18">
      <pivotArea type="data" outline="0" fieldPosition="0">
        <references count="2">
          <reference field="4294967294" count="1" selected="0">
            <x v="0"/>
          </reference>
          <reference field="8" count="1" selected="0">
            <x v="1"/>
          </reference>
        </references>
      </pivotArea>
    </chartFormat>
    <chartFormat chart="26" format="19">
      <pivotArea type="data" outline="0" fieldPosition="0">
        <references count="2">
          <reference field="4294967294" count="1" selected="0">
            <x v="0"/>
          </reference>
          <reference field="8" count="1" selected="0">
            <x v="2"/>
          </reference>
        </references>
      </pivotArea>
    </chartFormat>
    <chartFormat chart="26" format="20">
      <pivotArea type="data" outline="0" fieldPosition="0">
        <references count="2">
          <reference field="4294967294" count="1" selected="0">
            <x v="0"/>
          </reference>
          <reference field="8" count="1" selected="0">
            <x v="3"/>
          </reference>
        </references>
      </pivotArea>
    </chartFormat>
    <chartFormat chart="26" format="21">
      <pivotArea type="data" outline="0" fieldPosition="0">
        <references count="2">
          <reference field="4294967294" count="1" selected="0">
            <x v="0"/>
          </reference>
          <reference field="8" count="1" selected="0">
            <x v="4"/>
          </reference>
        </references>
      </pivotArea>
    </chartFormat>
    <chartFormat chart="26" format="22">
      <pivotArea type="data" outline="0" fieldPosition="0">
        <references count="2">
          <reference field="4294967294" count="1" selected="0">
            <x v="0"/>
          </reference>
          <reference field="8" count="1" selected="0">
            <x v="5"/>
          </reference>
        </references>
      </pivotArea>
    </chartFormat>
    <chartFormat chart="26" format="23">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F57B1C-50DF-49AA-8216-FC6358592090}" name="Regulation Statu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6" firstHeaderRow="1" firstDataRow="1" firstDataCol="1"/>
  <pivotFields count="12">
    <pivotField showAll="0">
      <items count="11">
        <item x="0"/>
        <item x="1"/>
        <item x="2"/>
        <item x="3"/>
        <item x="4"/>
        <item x="5"/>
        <item x="6"/>
        <item x="7"/>
        <item x="8"/>
        <item x="9"/>
        <item t="default"/>
      </items>
    </pivotField>
    <pivotField showAll="0">
      <items count="7">
        <item x="0"/>
        <item x="1"/>
        <item x="2"/>
        <item x="3"/>
        <item x="4"/>
        <item x="5"/>
        <item t="default"/>
      </items>
    </pivotField>
    <pivotField showAll="0"/>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9"/>
  </rowFields>
  <rowItems count="3">
    <i>
      <x v="2"/>
    </i>
    <i>
      <x v="1"/>
    </i>
    <i>
      <x/>
    </i>
  </rowItems>
  <colItems count="1">
    <i/>
  </colItems>
  <dataFields count="1">
    <dataField name="Average of Market Share of AI Companies (%)" fld="11" subtotal="average"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D7F288-CEDB-4556-9235-BB361E1F1B76}"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Industry">
  <location ref="A3:B13" firstHeaderRow="1" firstDataRow="1" firstDataCol="1"/>
  <pivotFields count="12">
    <pivotField showAll="0">
      <items count="11">
        <item x="0"/>
        <item x="1"/>
        <item x="2"/>
        <item x="3"/>
        <item x="4"/>
        <item x="5"/>
        <item x="6"/>
        <item x="7"/>
        <item x="8"/>
        <item x="9"/>
        <item t="default"/>
      </items>
    </pivotField>
    <pivotField showAll="0">
      <items count="7">
        <item x="0"/>
        <item x="1"/>
        <item x="2"/>
        <item x="3"/>
        <item x="4"/>
        <item x="5"/>
        <item t="default"/>
      </items>
    </pivotField>
    <pivotField axis="axisRow" showAll="0" sortType="ascending">
      <items count="11">
        <item x="0"/>
        <item x="7"/>
        <item x="3"/>
        <item x="4"/>
        <item x="2"/>
        <item x="8"/>
        <item x="9"/>
        <item x="1"/>
        <item x="5"/>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s>
  <rowFields count="1">
    <field x="2"/>
  </rowFields>
  <rowItems count="10">
    <i>
      <x v="3"/>
    </i>
    <i>
      <x v="2"/>
    </i>
    <i>
      <x v="7"/>
    </i>
    <i>
      <x v="9"/>
    </i>
    <i>
      <x v="4"/>
    </i>
    <i>
      <x v="1"/>
    </i>
    <i>
      <x v="5"/>
    </i>
    <i>
      <x v="6"/>
    </i>
    <i>
      <x v="8"/>
    </i>
    <i>
      <x/>
    </i>
  </rowItems>
  <colItems count="1">
    <i/>
  </colItems>
  <dataFields count="1">
    <dataField name="Average of Revenue Increase Due to AI (%)" fld="6" subtotal="average" baseField="2" baseItem="3" numFmtId="2"/>
  </dataFields>
  <formats count="1">
    <format dxfId="1">
      <pivotArea outline="0" collapsedLevelsAreSubtotals="1" fieldPosition="0"/>
    </format>
  </formats>
  <chartFormats count="3">
    <chartFormat chart="0" format="1"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9438F5-AAAE-47D3-A74D-921DBA507D5B}"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13" firstHeaderRow="1" firstDataRow="1" firstDataCol="1"/>
  <pivotFields count="12">
    <pivotField showAll="0">
      <items count="11">
        <item x="0"/>
        <item x="1"/>
        <item x="2"/>
        <item x="3"/>
        <item x="4"/>
        <item x="5"/>
        <item x="6"/>
        <item x="7"/>
        <item x="8"/>
        <item x="9"/>
        <item t="default"/>
      </items>
    </pivotField>
    <pivotField showAll="0">
      <items count="7">
        <item x="0"/>
        <item x="1"/>
        <item x="2"/>
        <item x="3"/>
        <item x="4"/>
        <item x="5"/>
        <item t="default"/>
      </items>
    </pivotField>
    <pivotField axis="axisRow" showAll="0">
      <items count="11">
        <item x="0"/>
        <item x="7"/>
        <item x="3"/>
        <item x="4"/>
        <item x="2"/>
        <item x="8"/>
        <item x="9"/>
        <item x="1"/>
        <item x="5"/>
        <item x="6"/>
        <item t="default"/>
      </items>
    </pivotField>
    <pivotField showAll="0"/>
    <pivotField showAll="0"/>
    <pivotField dataField="1" showAll="0"/>
    <pivotField showAll="0"/>
    <pivotField showAll="0"/>
    <pivotField showAll="0"/>
    <pivotField showAll="0"/>
    <pivotField showAll="0"/>
    <pivotField showAll="0"/>
  </pivotFields>
  <rowFields count="1">
    <field x="2"/>
  </rowFields>
  <rowItems count="10">
    <i>
      <x/>
    </i>
    <i>
      <x v="1"/>
    </i>
    <i>
      <x v="2"/>
    </i>
    <i>
      <x v="3"/>
    </i>
    <i>
      <x v="4"/>
    </i>
    <i>
      <x v="5"/>
    </i>
    <i>
      <x v="6"/>
    </i>
    <i>
      <x v="7"/>
    </i>
    <i>
      <x v="8"/>
    </i>
    <i>
      <x v="9"/>
    </i>
  </rowItems>
  <colItems count="1">
    <i/>
  </colItems>
  <dataFields count="1">
    <dataField name="Average of Job Loss Due to AI (%)" fld="5" subtotal="average" baseField="2" baseItem="0" numFmtId="2"/>
  </dataFields>
  <formats count="1">
    <format dxfId="0">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AE95969-AB2C-4C80-A90C-BF771A180716}" sourceName="Country">
  <pivotTables>
    <pivotTable tabId="3" name="AdoptionRate"/>
    <pivotTable tabId="7" name="ConsumerTrust"/>
    <pivotTable tabId="9" name="PivotTable8"/>
    <pivotTable tabId="10" name="KPI"/>
    <pivotTable tabId="11" name="Regulation Status"/>
    <pivotTable tabId="5" name="PivotTable2"/>
  </pivotTables>
  <data>
    <tabular pivotCacheId="760315809">
      <items count="10">
        <i x="0" s="1"/>
        <i x="1"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E75795F-CB2E-4043-B048-2043E5C5F975}" sourceName="Year">
  <pivotTables>
    <pivotTable tabId="3" name="AdoptionRate"/>
    <pivotTable tabId="7" name="ConsumerTrust"/>
    <pivotTable tabId="9" name="PivotTable8"/>
    <pivotTable tabId="10" name="KPI"/>
    <pivotTable tabId="11" name="Regulation Status"/>
    <pivotTable tabId="5" name="PivotTable2"/>
  </pivotTables>
  <data>
    <tabular pivotCacheId="760315809">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CEE4A42A-3F19-480E-A2F2-821C32738873}" cache="Slicer_Country" caption="Country" startItem="4" style="orange&amp;white" rowHeight="360000"/>
  <slicer name="Year 1" xr10:uid="{2C76E514-79F0-4F18-A7F5-621D70E535D2}" cache="Slicer_Year" caption="Year" style="orange&amp;white" rowHeight="39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5BD393C-CE29-46CA-BC67-91256F7042E3}" cache="Slicer_Country" caption="Country" rowHeight="234950"/>
  <slicer name="Year" xr10:uid="{B41123E9-634B-4E12-874D-B3F3BA4D4462}"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03B134-B4C9-418B-8484-70C2F68E3069}" name="Table1" displayName="Table1" ref="A1:L201" totalsRowShown="0">
  <autoFilter ref="A1:L201" xr:uid="{2503B134-B4C9-418B-8484-70C2F68E3069}"/>
  <sortState xmlns:xlrd2="http://schemas.microsoft.com/office/spreadsheetml/2017/richdata2" ref="A2:L201">
    <sortCondition ref="A1:A201"/>
  </sortState>
  <tableColumns count="12">
    <tableColumn id="1" xr3:uid="{A2FEBFD6-A164-4229-88C5-A3A8061227BE}" name="Country"/>
    <tableColumn id="2" xr3:uid="{65A5D8EE-D000-40F0-A693-DE4C6DA1D1ED}" name="Year"/>
    <tableColumn id="3" xr3:uid="{5FD42F76-9968-4889-87E0-0891C3389465}" name="Industry"/>
    <tableColumn id="4" xr3:uid="{81ECDEEA-5A85-4D9D-B126-754E1CF165F4}" name="AI Adoption Rate (%)"/>
    <tableColumn id="5" xr3:uid="{F2024484-F343-4D69-8551-260C5F4031BC}" name="AI-Generated Content Volume (TBs per year)"/>
    <tableColumn id="6" xr3:uid="{2C17C18F-A4E1-434A-B47F-F914DD16C897}" name="Job Loss Due to AI (%)"/>
    <tableColumn id="7" xr3:uid="{481DF3AE-0C40-4AB9-AA16-19315B2A7A31}" name="Revenue Increase Due to AI (%)"/>
    <tableColumn id="8" xr3:uid="{5F713F1E-CF8E-48A5-9AE5-B4D58F1BA280}" name="Human-AI Collaboration Rate (%)"/>
    <tableColumn id="9" xr3:uid="{6C3B00EC-0D67-4EB9-B2F6-ED12F112A47C}" name="Top AI Tools Used"/>
    <tableColumn id="10" xr3:uid="{8B1264AC-C3CB-4648-A151-826481F45B13}" name="Regulation Status"/>
    <tableColumn id="11" xr3:uid="{94FD5C74-24DB-4E1C-85CE-5259924FC65B}" name="Consumer Trust in AI (%)"/>
    <tableColumn id="12" xr3:uid="{99B539AE-B332-4A56-AB0D-7E7BF7CE3638}" name="Market Share of AI Companies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ADCEE-E4C8-4091-884A-8A01D294BB9D}">
  <dimension ref="A3:C8"/>
  <sheetViews>
    <sheetView workbookViewId="0">
      <selection activeCell="A8" sqref="A8"/>
    </sheetView>
  </sheetViews>
  <sheetFormatPr defaultRowHeight="14.4" x14ac:dyDescent="0.3"/>
  <cols>
    <col min="1" max="1" width="28.5546875" bestFit="1" customWidth="1"/>
    <col min="2" max="2" width="37.44140625" bestFit="1" customWidth="1"/>
    <col min="3" max="3" width="39.109375" bestFit="1" customWidth="1"/>
  </cols>
  <sheetData>
    <row r="3" spans="1:3" x14ac:dyDescent="0.3">
      <c r="A3" t="s">
        <v>43</v>
      </c>
      <c r="B3" t="s">
        <v>44</v>
      </c>
      <c r="C3" t="s">
        <v>47</v>
      </c>
    </row>
    <row r="4" spans="1:3" x14ac:dyDescent="0.3">
      <c r="A4" s="3">
        <v>54.26585</v>
      </c>
      <c r="B4" s="3">
        <v>39.719449999999995</v>
      </c>
      <c r="C4" s="3">
        <v>54.102149999999966</v>
      </c>
    </row>
    <row r="7" spans="1:3" x14ac:dyDescent="0.3">
      <c r="A7" t="s">
        <v>48</v>
      </c>
      <c r="B7" t="s">
        <v>49</v>
      </c>
      <c r="C7" t="s">
        <v>50</v>
      </c>
    </row>
    <row r="8" spans="1:3" x14ac:dyDescent="0.3">
      <c r="A8" s="3">
        <f>GETPIVOTDATA("Average of AI Adoption Rate (%)",$A$3)</f>
        <v>54.26585</v>
      </c>
      <c r="B8" s="3">
        <f>GETPIVOTDATA("Average of Revenue Increase Due to AI (%)",$A$3)</f>
        <v>39.719449999999995</v>
      </c>
      <c r="C8" s="3">
        <f>GETPIVOTDATA("Average of Human-AI Collaboration Rate (%)",$A$3)</f>
        <v>54.102149999999966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2E798-6865-4AF2-9CCB-A18C25206B19}">
  <dimension ref="A1"/>
  <sheetViews>
    <sheetView tabSelected="1" zoomScale="57" zoomScaleNormal="109" workbookViewId="0">
      <selection activeCell="AI20" sqref="AI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DB29A-AFB2-4530-B277-5DF68AD51263}">
  <dimension ref="A3:B13"/>
  <sheetViews>
    <sheetView zoomScaleNormal="100" workbookViewId="0">
      <selection activeCell="B5" sqref="B5"/>
    </sheetView>
  </sheetViews>
  <sheetFormatPr defaultRowHeight="14.4" x14ac:dyDescent="0.3"/>
  <cols>
    <col min="1" max="1" width="12.88671875" bestFit="1" customWidth="1"/>
    <col min="2" max="2" width="28.5546875" bestFit="1" customWidth="1"/>
  </cols>
  <sheetData>
    <row r="3" spans="1:2" x14ac:dyDescent="0.3">
      <c r="A3" s="1" t="s">
        <v>2</v>
      </c>
      <c r="B3" t="s">
        <v>43</v>
      </c>
    </row>
    <row r="4" spans="1:2" x14ac:dyDescent="0.3">
      <c r="A4" s="2" t="s">
        <v>13</v>
      </c>
      <c r="B4" s="3">
        <v>47.263225806451615</v>
      </c>
    </row>
    <row r="5" spans="1:2" x14ac:dyDescent="0.3">
      <c r="A5" s="2" t="s">
        <v>27</v>
      </c>
      <c r="B5" s="3">
        <v>47.905714285714303</v>
      </c>
    </row>
    <row r="6" spans="1:2" x14ac:dyDescent="0.3">
      <c r="A6" s="2" t="s">
        <v>37</v>
      </c>
      <c r="B6" s="3">
        <v>54.244210526315797</v>
      </c>
    </row>
    <row r="7" spans="1:2" x14ac:dyDescent="0.3">
      <c r="A7" s="2" t="s">
        <v>20</v>
      </c>
      <c r="B7" s="3">
        <v>54.887894736842114</v>
      </c>
    </row>
    <row r="8" spans="1:2" x14ac:dyDescent="0.3">
      <c r="A8" s="2" t="s">
        <v>34</v>
      </c>
      <c r="B8" s="3">
        <v>55.734117647058824</v>
      </c>
    </row>
    <row r="9" spans="1:2" x14ac:dyDescent="0.3">
      <c r="A9" s="2" t="s">
        <v>41</v>
      </c>
      <c r="B9" s="3">
        <v>55.76428571428572</v>
      </c>
    </row>
    <row r="10" spans="1:2" x14ac:dyDescent="0.3">
      <c r="A10" s="2" t="s">
        <v>17</v>
      </c>
      <c r="B10" s="3">
        <v>56.077647058823523</v>
      </c>
    </row>
    <row r="11" spans="1:2" x14ac:dyDescent="0.3">
      <c r="A11" s="2" t="s">
        <v>40</v>
      </c>
      <c r="B11" s="3">
        <v>57.014444444444443</v>
      </c>
    </row>
    <row r="12" spans="1:2" x14ac:dyDescent="0.3">
      <c r="A12" s="2" t="s">
        <v>33</v>
      </c>
      <c r="B12" s="3">
        <v>57.028235294117657</v>
      </c>
    </row>
    <row r="13" spans="1:2" x14ac:dyDescent="0.3">
      <c r="A13" s="2" t="s">
        <v>25</v>
      </c>
      <c r="B13" s="3">
        <v>60.416296296296295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B4FB8-79B1-449D-A65F-0B95E905A549}">
  <dimension ref="A3:B10"/>
  <sheetViews>
    <sheetView topLeftCell="B1" workbookViewId="0">
      <selection activeCell="B5" sqref="B5"/>
    </sheetView>
  </sheetViews>
  <sheetFormatPr defaultRowHeight="14.4" x14ac:dyDescent="0.3"/>
  <cols>
    <col min="1" max="1" width="13.88671875" bestFit="1" customWidth="1"/>
    <col min="2" max="2" width="31.77734375" bestFit="1" customWidth="1"/>
    <col min="3" max="3" width="9.33203125" bestFit="1" customWidth="1"/>
    <col min="4" max="4" width="5.33203125" bestFit="1" customWidth="1"/>
    <col min="5" max="5" width="10.77734375" bestFit="1" customWidth="1"/>
  </cols>
  <sheetData>
    <row r="3" spans="1:2" x14ac:dyDescent="0.3">
      <c r="A3" s="1" t="s">
        <v>42</v>
      </c>
      <c r="B3" t="s">
        <v>45</v>
      </c>
    </row>
    <row r="4" spans="1:2" x14ac:dyDescent="0.3">
      <c r="A4" s="2" t="s">
        <v>14</v>
      </c>
      <c r="B4" s="3">
        <v>64.315000000000012</v>
      </c>
    </row>
    <row r="5" spans="1:2" x14ac:dyDescent="0.3">
      <c r="A5" s="2" t="s">
        <v>28</v>
      </c>
      <c r="B5" s="3">
        <v>59.235161290322587</v>
      </c>
    </row>
    <row r="6" spans="1:2" x14ac:dyDescent="0.3">
      <c r="A6" s="2" t="s">
        <v>24</v>
      </c>
      <c r="B6" s="3">
        <v>60.146774193548374</v>
      </c>
    </row>
    <row r="7" spans="1:2" x14ac:dyDescent="0.3">
      <c r="A7" s="2" t="s">
        <v>18</v>
      </c>
      <c r="B7" s="3">
        <v>55.689230769230775</v>
      </c>
    </row>
    <row r="8" spans="1:2" x14ac:dyDescent="0.3">
      <c r="A8" s="2" t="s">
        <v>26</v>
      </c>
      <c r="B8" s="3">
        <v>62.785405405405406</v>
      </c>
    </row>
    <row r="9" spans="1:2" x14ac:dyDescent="0.3">
      <c r="A9" s="2" t="s">
        <v>21</v>
      </c>
      <c r="B9" s="3">
        <v>52.448888888888874</v>
      </c>
    </row>
    <row r="10" spans="1:2" x14ac:dyDescent="0.3">
      <c r="A10" s="2" t="s">
        <v>35</v>
      </c>
      <c r="B10" s="3">
        <v>60.563749999999992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C0528-B6A6-4A24-B750-00DA8F652E60}">
  <dimension ref="A3:E6"/>
  <sheetViews>
    <sheetView workbookViewId="0">
      <selection activeCell="B5" sqref="B5"/>
    </sheetView>
  </sheetViews>
  <sheetFormatPr defaultRowHeight="14.4" x14ac:dyDescent="0.3"/>
  <cols>
    <col min="1" max="1" width="12.5546875" bestFit="1" customWidth="1"/>
    <col min="2" max="2" width="40.109375" bestFit="1" customWidth="1"/>
  </cols>
  <sheetData>
    <row r="3" spans="1:5" x14ac:dyDescent="0.3">
      <c r="A3" s="1" t="s">
        <v>42</v>
      </c>
      <c r="B3" t="s">
        <v>51</v>
      </c>
      <c r="D3" t="s">
        <v>9</v>
      </c>
      <c r="E3" t="s">
        <v>52</v>
      </c>
    </row>
    <row r="4" spans="1:5" x14ac:dyDescent="0.3">
      <c r="A4" s="2" t="s">
        <v>15</v>
      </c>
      <c r="B4">
        <v>27.974262295081964</v>
      </c>
      <c r="D4" t="str">
        <f>A4</f>
        <v>Strict</v>
      </c>
      <c r="E4" s="3">
        <f>GETPIVOTDATA("Market Share of AI Companies (%)",$A$3,"Regulation Status",A4)</f>
        <v>27.974262295081964</v>
      </c>
    </row>
    <row r="5" spans="1:5" x14ac:dyDescent="0.3">
      <c r="A5" s="2" t="s">
        <v>22</v>
      </c>
      <c r="B5">
        <v>27.697500000000002</v>
      </c>
      <c r="D5" t="str">
        <f t="shared" ref="D5:D6" si="0">A5</f>
        <v>Moderate</v>
      </c>
      <c r="E5" s="3">
        <f t="shared" ref="E5:E6" si="1">GETPIVOTDATA("Market Share of AI Companies (%)",$A$3,"Regulation Status",A5)</f>
        <v>27.697500000000002</v>
      </c>
    </row>
    <row r="6" spans="1:5" x14ac:dyDescent="0.3">
      <c r="A6" s="2" t="s">
        <v>29</v>
      </c>
      <c r="B6">
        <v>23.848730158730167</v>
      </c>
      <c r="D6" t="str">
        <f t="shared" si="0"/>
        <v>Lenient</v>
      </c>
      <c r="E6" s="3">
        <f t="shared" si="1"/>
        <v>23.848730158730167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D8563-D768-40FD-A083-0113BE616154}">
  <dimension ref="A3:B13"/>
  <sheetViews>
    <sheetView zoomScale="86" workbookViewId="0">
      <selection activeCell="B6" sqref="B6"/>
    </sheetView>
  </sheetViews>
  <sheetFormatPr defaultRowHeight="14.4" x14ac:dyDescent="0.3"/>
  <cols>
    <col min="1" max="1" width="13.109375" bestFit="1" customWidth="1"/>
    <col min="2" max="2" width="39.33203125" bestFit="1" customWidth="1"/>
    <col min="3" max="3" width="48" bestFit="1" customWidth="1"/>
  </cols>
  <sheetData>
    <row r="3" spans="1:2" x14ac:dyDescent="0.3">
      <c r="A3" s="1" t="s">
        <v>2</v>
      </c>
      <c r="B3" t="s">
        <v>44</v>
      </c>
    </row>
    <row r="4" spans="1:2" x14ac:dyDescent="0.3">
      <c r="A4" s="2" t="s">
        <v>25</v>
      </c>
      <c r="B4" s="3">
        <v>33.234444444444442</v>
      </c>
    </row>
    <row r="5" spans="1:2" x14ac:dyDescent="0.3">
      <c r="A5" s="2" t="s">
        <v>41</v>
      </c>
      <c r="B5" s="3">
        <v>36.257142857142853</v>
      </c>
    </row>
    <row r="6" spans="1:2" x14ac:dyDescent="0.3">
      <c r="A6" s="2" t="s">
        <v>37</v>
      </c>
      <c r="B6" s="3">
        <v>36.813684210526304</v>
      </c>
    </row>
    <row r="7" spans="1:2" x14ac:dyDescent="0.3">
      <c r="A7" s="2" t="s">
        <v>27</v>
      </c>
      <c r="B7" s="3">
        <v>37.679523809523808</v>
      </c>
    </row>
    <row r="8" spans="1:2" x14ac:dyDescent="0.3">
      <c r="A8" s="2" t="s">
        <v>34</v>
      </c>
      <c r="B8" s="3">
        <v>38.586470588235287</v>
      </c>
    </row>
    <row r="9" spans="1:2" x14ac:dyDescent="0.3">
      <c r="A9" s="2" t="s">
        <v>33</v>
      </c>
      <c r="B9" s="3">
        <v>39.543529411764709</v>
      </c>
    </row>
    <row r="10" spans="1:2" x14ac:dyDescent="0.3">
      <c r="A10" s="2" t="s">
        <v>17</v>
      </c>
      <c r="B10" s="3">
        <v>41.824117647058827</v>
      </c>
    </row>
    <row r="11" spans="1:2" x14ac:dyDescent="0.3">
      <c r="A11" s="2" t="s">
        <v>40</v>
      </c>
      <c r="B11" s="3">
        <v>42.807222222222222</v>
      </c>
    </row>
    <row r="12" spans="1:2" x14ac:dyDescent="0.3">
      <c r="A12" s="2" t="s">
        <v>13</v>
      </c>
      <c r="B12" s="3">
        <v>43.719677419354831</v>
      </c>
    </row>
    <row r="13" spans="1:2" x14ac:dyDescent="0.3">
      <c r="A13" s="2" t="s">
        <v>20</v>
      </c>
      <c r="B13" s="3">
        <v>46.48263157894737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940C5-BA59-4BE3-ACB2-CF67C84D7832}">
  <dimension ref="A3:M13"/>
  <sheetViews>
    <sheetView topLeftCell="F1" workbookViewId="0">
      <selection activeCell="L3" sqref="L3:M13"/>
    </sheetView>
  </sheetViews>
  <sheetFormatPr defaultRowHeight="14.4" x14ac:dyDescent="0.3"/>
  <cols>
    <col min="1" max="1" width="12.88671875" bestFit="1" customWidth="1"/>
    <col min="2" max="2" width="29.33203125" bestFit="1" customWidth="1"/>
    <col min="12" max="12" width="12.88671875" bestFit="1" customWidth="1"/>
  </cols>
  <sheetData>
    <row r="3" spans="1:13" x14ac:dyDescent="0.3">
      <c r="A3" s="1" t="s">
        <v>42</v>
      </c>
      <c r="B3" t="s">
        <v>46</v>
      </c>
      <c r="L3" t="s">
        <v>53</v>
      </c>
      <c r="M3" t="s">
        <v>54</v>
      </c>
    </row>
    <row r="4" spans="1:13" x14ac:dyDescent="0.3">
      <c r="A4" s="2" t="s">
        <v>20</v>
      </c>
      <c r="B4" s="3">
        <v>28.91684210526315</v>
      </c>
      <c r="L4" t="str">
        <f>A4</f>
        <v>Automotive</v>
      </c>
      <c r="M4" s="3">
        <f>GETPIVOTDATA("Job Loss Due to AI (%)",$A$3,"Industry",A4)</f>
        <v>28.91684210526315</v>
      </c>
    </row>
    <row r="5" spans="1:13" x14ac:dyDescent="0.3">
      <c r="A5" s="2" t="s">
        <v>33</v>
      </c>
      <c r="B5" s="3">
        <v>26.142352941176465</v>
      </c>
      <c r="L5" t="str">
        <f t="shared" ref="L5:L13" si="0">A5</f>
        <v>Education</v>
      </c>
      <c r="M5" s="3">
        <f t="shared" ref="M5:M13" si="1">GETPIVOTDATA("Job Loss Due to AI (%)",$A$3,"Industry",A5)</f>
        <v>26.142352941176465</v>
      </c>
    </row>
    <row r="6" spans="1:13" x14ac:dyDescent="0.3">
      <c r="A6" s="2" t="s">
        <v>41</v>
      </c>
      <c r="B6" s="3">
        <v>27.790000000000003</v>
      </c>
      <c r="L6" t="str">
        <f t="shared" si="0"/>
        <v>Finance</v>
      </c>
      <c r="M6" s="3">
        <f t="shared" si="1"/>
        <v>27.790000000000003</v>
      </c>
    </row>
    <row r="7" spans="1:13" x14ac:dyDescent="0.3">
      <c r="A7" s="2" t="s">
        <v>25</v>
      </c>
      <c r="B7" s="3">
        <v>27.204074074074079</v>
      </c>
      <c r="L7" t="str">
        <f t="shared" si="0"/>
        <v>Gaming</v>
      </c>
      <c r="M7" s="3">
        <f t="shared" si="1"/>
        <v>27.204074074074079</v>
      </c>
    </row>
    <row r="8" spans="1:13" x14ac:dyDescent="0.3">
      <c r="A8" s="2" t="s">
        <v>34</v>
      </c>
      <c r="B8" s="3">
        <v>25.579411764705878</v>
      </c>
      <c r="L8" t="str">
        <f t="shared" si="0"/>
        <v>Healthcare</v>
      </c>
      <c r="M8" s="3">
        <f t="shared" si="1"/>
        <v>25.579411764705878</v>
      </c>
    </row>
    <row r="9" spans="1:13" x14ac:dyDescent="0.3">
      <c r="A9" s="2" t="s">
        <v>17</v>
      </c>
      <c r="B9" s="3">
        <v>28.234117647058817</v>
      </c>
      <c r="L9" t="str">
        <f t="shared" si="0"/>
        <v>Legal</v>
      </c>
      <c r="M9" s="3">
        <f t="shared" si="1"/>
        <v>28.234117647058817</v>
      </c>
    </row>
    <row r="10" spans="1:13" x14ac:dyDescent="0.3">
      <c r="A10" s="2" t="s">
        <v>40</v>
      </c>
      <c r="B10" s="3">
        <v>32.746111111111105</v>
      </c>
      <c r="L10" t="str">
        <f t="shared" si="0"/>
        <v>Manufacturing</v>
      </c>
      <c r="M10" s="3">
        <f t="shared" si="1"/>
        <v>32.746111111111105</v>
      </c>
    </row>
    <row r="11" spans="1:13" x14ac:dyDescent="0.3">
      <c r="A11" s="2" t="s">
        <v>37</v>
      </c>
      <c r="B11" s="3">
        <v>19.577894736842104</v>
      </c>
      <c r="L11" t="str">
        <f t="shared" si="0"/>
        <v>Marketing</v>
      </c>
      <c r="M11" s="3">
        <f t="shared" si="1"/>
        <v>19.577894736842104</v>
      </c>
    </row>
    <row r="12" spans="1:13" x14ac:dyDescent="0.3">
      <c r="A12" s="2" t="s">
        <v>13</v>
      </c>
      <c r="B12" s="3">
        <v>22.74903225806451</v>
      </c>
      <c r="L12" t="str">
        <f t="shared" si="0"/>
        <v>Media</v>
      </c>
      <c r="M12" s="3">
        <f t="shared" si="1"/>
        <v>22.74903225806451</v>
      </c>
    </row>
    <row r="13" spans="1:13" x14ac:dyDescent="0.3">
      <c r="A13" s="2" t="s">
        <v>27</v>
      </c>
      <c r="B13" s="3">
        <v>21.846666666666668</v>
      </c>
      <c r="L13" t="str">
        <f t="shared" si="0"/>
        <v>Retail</v>
      </c>
      <c r="M13" s="3">
        <f t="shared" si="1"/>
        <v>21.846666666666668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1F67E-DFB5-421E-A939-9B8FA251DDC2}">
  <dimension ref="A1:L201"/>
  <sheetViews>
    <sheetView topLeftCell="A2" workbookViewId="0">
      <selection activeCell="A2" sqref="A2"/>
    </sheetView>
  </sheetViews>
  <sheetFormatPr defaultRowHeight="14.4" x14ac:dyDescent="0.3"/>
  <cols>
    <col min="1" max="1" width="10.88671875" bestFit="1" customWidth="1"/>
    <col min="3" max="3" width="12.88671875" bestFit="1" customWidth="1"/>
    <col min="4" max="4" width="20.44140625" customWidth="1"/>
    <col min="5" max="5" width="40.33203125" customWidth="1"/>
    <col min="6" max="6" width="21.21875" customWidth="1"/>
    <col min="7" max="7" width="29.109375" customWidth="1"/>
    <col min="8" max="8" width="30.6640625" customWidth="1"/>
    <col min="9" max="9" width="17.88671875" customWidth="1"/>
    <col min="10" max="10" width="17.5546875" customWidth="1"/>
    <col min="11" max="11" width="23.5546875" customWidth="1"/>
    <col min="12" max="12" width="31.664062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30</v>
      </c>
      <c r="B2">
        <v>2020</v>
      </c>
      <c r="C2" t="s">
        <v>20</v>
      </c>
      <c r="D2">
        <v>14.31</v>
      </c>
      <c r="E2">
        <v>35.590000000000003</v>
      </c>
      <c r="F2">
        <v>14.59</v>
      </c>
      <c r="G2">
        <v>36.049999999999997</v>
      </c>
      <c r="H2">
        <v>76.709999999999994</v>
      </c>
      <c r="I2" t="s">
        <v>24</v>
      </c>
      <c r="J2" t="s">
        <v>22</v>
      </c>
      <c r="K2">
        <v>76.459999999999994</v>
      </c>
      <c r="L2">
        <v>2.64</v>
      </c>
    </row>
    <row r="3" spans="1:12" x14ac:dyDescent="0.3">
      <c r="A3" t="s">
        <v>30</v>
      </c>
      <c r="B3">
        <v>2020</v>
      </c>
      <c r="C3" t="s">
        <v>37</v>
      </c>
      <c r="D3">
        <v>33.909999999999997</v>
      </c>
      <c r="E3">
        <v>86.4</v>
      </c>
      <c r="F3">
        <v>17.149999999999999</v>
      </c>
      <c r="G3">
        <v>59.2</v>
      </c>
      <c r="H3">
        <v>32.1</v>
      </c>
      <c r="I3" t="s">
        <v>18</v>
      </c>
      <c r="J3" t="s">
        <v>29</v>
      </c>
      <c r="K3">
        <v>76.05</v>
      </c>
      <c r="L3">
        <v>37.53</v>
      </c>
    </row>
    <row r="4" spans="1:12" x14ac:dyDescent="0.3">
      <c r="A4" t="s">
        <v>30</v>
      </c>
      <c r="B4">
        <v>2020</v>
      </c>
      <c r="C4" t="s">
        <v>34</v>
      </c>
      <c r="D4">
        <v>21.02</v>
      </c>
      <c r="E4">
        <v>20.5</v>
      </c>
      <c r="F4">
        <v>5.47</v>
      </c>
      <c r="G4">
        <v>79.55</v>
      </c>
      <c r="H4">
        <v>53.09</v>
      </c>
      <c r="I4" t="s">
        <v>28</v>
      </c>
      <c r="J4" t="s">
        <v>15</v>
      </c>
      <c r="K4">
        <v>44.82</v>
      </c>
      <c r="L4">
        <v>13.25</v>
      </c>
    </row>
    <row r="5" spans="1:12" x14ac:dyDescent="0.3">
      <c r="A5" t="s">
        <v>30</v>
      </c>
      <c r="B5">
        <v>2020</v>
      </c>
      <c r="C5" t="s">
        <v>41</v>
      </c>
      <c r="D5">
        <v>69.67</v>
      </c>
      <c r="E5">
        <v>47.75</v>
      </c>
      <c r="F5">
        <v>27.81</v>
      </c>
      <c r="G5">
        <v>55.74</v>
      </c>
      <c r="H5">
        <v>74.989999999999995</v>
      </c>
      <c r="I5" t="s">
        <v>35</v>
      </c>
      <c r="J5" t="s">
        <v>22</v>
      </c>
      <c r="K5">
        <v>68.67</v>
      </c>
      <c r="L5">
        <v>9.18</v>
      </c>
    </row>
    <row r="6" spans="1:12" x14ac:dyDescent="0.3">
      <c r="A6" t="s">
        <v>30</v>
      </c>
      <c r="B6">
        <v>2021</v>
      </c>
      <c r="C6" t="s">
        <v>25</v>
      </c>
      <c r="D6">
        <v>76.22</v>
      </c>
      <c r="E6">
        <v>75.930000000000007</v>
      </c>
      <c r="F6">
        <v>43.3</v>
      </c>
      <c r="G6">
        <v>10.63</v>
      </c>
      <c r="H6">
        <v>61.88</v>
      </c>
      <c r="I6" t="s">
        <v>18</v>
      </c>
      <c r="J6" t="s">
        <v>22</v>
      </c>
      <c r="K6">
        <v>65.569999999999993</v>
      </c>
      <c r="L6">
        <v>6.82</v>
      </c>
    </row>
    <row r="7" spans="1:12" x14ac:dyDescent="0.3">
      <c r="A7" t="s">
        <v>30</v>
      </c>
      <c r="B7">
        <v>2021</v>
      </c>
      <c r="C7" t="s">
        <v>13</v>
      </c>
      <c r="D7">
        <v>57.44</v>
      </c>
      <c r="E7">
        <v>74.709999999999994</v>
      </c>
      <c r="F7">
        <v>25.91</v>
      </c>
      <c r="G7">
        <v>47.8</v>
      </c>
      <c r="H7">
        <v>82.92</v>
      </c>
      <c r="I7" t="s">
        <v>18</v>
      </c>
      <c r="J7" t="s">
        <v>15</v>
      </c>
      <c r="K7">
        <v>49.17</v>
      </c>
      <c r="L7">
        <v>43.77</v>
      </c>
    </row>
    <row r="8" spans="1:12" x14ac:dyDescent="0.3">
      <c r="A8" t="s">
        <v>30</v>
      </c>
      <c r="B8">
        <v>2022</v>
      </c>
      <c r="C8" t="s">
        <v>25</v>
      </c>
      <c r="D8">
        <v>89.96</v>
      </c>
      <c r="E8">
        <v>80.3</v>
      </c>
      <c r="F8">
        <v>25.11</v>
      </c>
      <c r="G8">
        <v>74.040000000000006</v>
      </c>
      <c r="H8">
        <v>51.67</v>
      </c>
      <c r="I8" t="s">
        <v>24</v>
      </c>
      <c r="J8" t="s">
        <v>15</v>
      </c>
      <c r="K8">
        <v>78.510000000000005</v>
      </c>
      <c r="L8">
        <v>17.66</v>
      </c>
    </row>
    <row r="9" spans="1:12" x14ac:dyDescent="0.3">
      <c r="A9" t="s">
        <v>30</v>
      </c>
      <c r="B9">
        <v>2022</v>
      </c>
      <c r="C9" t="s">
        <v>27</v>
      </c>
      <c r="D9">
        <v>78.599999999999994</v>
      </c>
      <c r="E9">
        <v>19.64</v>
      </c>
      <c r="F9">
        <v>1.29</v>
      </c>
      <c r="G9">
        <v>8.4700000000000006</v>
      </c>
      <c r="H9">
        <v>64.180000000000007</v>
      </c>
      <c r="I9" t="s">
        <v>28</v>
      </c>
      <c r="J9" t="s">
        <v>15</v>
      </c>
      <c r="K9">
        <v>59.15</v>
      </c>
      <c r="L9">
        <v>13.48</v>
      </c>
    </row>
    <row r="10" spans="1:12" x14ac:dyDescent="0.3">
      <c r="A10" t="s">
        <v>30</v>
      </c>
      <c r="B10">
        <v>2023</v>
      </c>
      <c r="C10" t="s">
        <v>13</v>
      </c>
      <c r="D10">
        <v>68.23</v>
      </c>
      <c r="E10">
        <v>6.14</v>
      </c>
      <c r="F10">
        <v>6.2</v>
      </c>
      <c r="G10">
        <v>53.13</v>
      </c>
      <c r="H10">
        <v>53.16</v>
      </c>
      <c r="I10" t="s">
        <v>24</v>
      </c>
      <c r="J10" t="s">
        <v>22</v>
      </c>
      <c r="K10">
        <v>71.599999999999994</v>
      </c>
      <c r="L10">
        <v>15.26</v>
      </c>
    </row>
    <row r="11" spans="1:12" x14ac:dyDescent="0.3">
      <c r="A11" t="s">
        <v>30</v>
      </c>
      <c r="B11">
        <v>2023</v>
      </c>
      <c r="C11" t="s">
        <v>27</v>
      </c>
      <c r="D11">
        <v>91.41</v>
      </c>
      <c r="E11">
        <v>67.489999999999995</v>
      </c>
      <c r="F11">
        <v>6.67</v>
      </c>
      <c r="G11">
        <v>71.61</v>
      </c>
      <c r="H11">
        <v>54.73</v>
      </c>
      <c r="I11" t="s">
        <v>28</v>
      </c>
      <c r="J11" t="s">
        <v>15</v>
      </c>
      <c r="K11">
        <v>53.96</v>
      </c>
      <c r="L11">
        <v>29.35</v>
      </c>
    </row>
    <row r="12" spans="1:12" x14ac:dyDescent="0.3">
      <c r="A12" t="s">
        <v>30</v>
      </c>
      <c r="B12">
        <v>2023</v>
      </c>
      <c r="C12" t="s">
        <v>37</v>
      </c>
      <c r="D12">
        <v>18.43</v>
      </c>
      <c r="E12">
        <v>7.44</v>
      </c>
      <c r="F12">
        <v>2.75</v>
      </c>
      <c r="G12">
        <v>12.96</v>
      </c>
      <c r="H12">
        <v>54.31</v>
      </c>
      <c r="I12" t="s">
        <v>28</v>
      </c>
      <c r="J12" t="s">
        <v>22</v>
      </c>
      <c r="K12">
        <v>73.34</v>
      </c>
      <c r="L12">
        <v>6.21</v>
      </c>
    </row>
    <row r="13" spans="1:12" x14ac:dyDescent="0.3">
      <c r="A13" t="s">
        <v>30</v>
      </c>
      <c r="B13">
        <v>2023</v>
      </c>
      <c r="C13" t="s">
        <v>20</v>
      </c>
      <c r="D13">
        <v>45.35</v>
      </c>
      <c r="E13">
        <v>20.49</v>
      </c>
      <c r="F13">
        <v>33.21</v>
      </c>
      <c r="G13">
        <v>50.5</v>
      </c>
      <c r="H13">
        <v>41.73</v>
      </c>
      <c r="I13" t="s">
        <v>24</v>
      </c>
      <c r="J13" t="s">
        <v>15</v>
      </c>
      <c r="K13">
        <v>47.42</v>
      </c>
      <c r="L13">
        <v>43.11</v>
      </c>
    </row>
    <row r="14" spans="1:12" x14ac:dyDescent="0.3">
      <c r="A14" t="s">
        <v>30</v>
      </c>
      <c r="B14">
        <v>2024</v>
      </c>
      <c r="C14" t="s">
        <v>20</v>
      </c>
      <c r="D14">
        <v>78.209999999999994</v>
      </c>
      <c r="E14">
        <v>33.340000000000003</v>
      </c>
      <c r="F14">
        <v>6.54</v>
      </c>
      <c r="G14">
        <v>76.760000000000005</v>
      </c>
      <c r="H14">
        <v>87.8</v>
      </c>
      <c r="I14" t="s">
        <v>24</v>
      </c>
      <c r="J14" t="s">
        <v>15</v>
      </c>
      <c r="K14">
        <v>71.22</v>
      </c>
      <c r="L14">
        <v>49.04</v>
      </c>
    </row>
    <row r="15" spans="1:12" x14ac:dyDescent="0.3">
      <c r="A15" t="s">
        <v>30</v>
      </c>
      <c r="B15">
        <v>2025</v>
      </c>
      <c r="C15" t="s">
        <v>25</v>
      </c>
      <c r="D15">
        <v>62.64</v>
      </c>
      <c r="E15">
        <v>61.24</v>
      </c>
      <c r="F15">
        <v>37.25</v>
      </c>
      <c r="G15">
        <v>43.72</v>
      </c>
      <c r="H15">
        <v>20.21</v>
      </c>
      <c r="I15" t="s">
        <v>24</v>
      </c>
      <c r="J15" t="s">
        <v>29</v>
      </c>
      <c r="K15">
        <v>79.680000000000007</v>
      </c>
      <c r="L15">
        <v>47.08</v>
      </c>
    </row>
    <row r="16" spans="1:12" x14ac:dyDescent="0.3">
      <c r="A16" t="s">
        <v>30</v>
      </c>
      <c r="B16">
        <v>2025</v>
      </c>
      <c r="C16" t="s">
        <v>41</v>
      </c>
      <c r="D16">
        <v>35.83</v>
      </c>
      <c r="E16">
        <v>94.62</v>
      </c>
      <c r="F16">
        <v>29.11</v>
      </c>
      <c r="G16">
        <v>65.36</v>
      </c>
      <c r="H16">
        <v>82.68</v>
      </c>
      <c r="I16" t="s">
        <v>21</v>
      </c>
      <c r="J16" t="s">
        <v>29</v>
      </c>
      <c r="K16">
        <v>38.020000000000003</v>
      </c>
      <c r="L16">
        <v>20.93</v>
      </c>
    </row>
    <row r="17" spans="1:12" x14ac:dyDescent="0.3">
      <c r="A17" t="s">
        <v>32</v>
      </c>
      <c r="B17">
        <v>2020</v>
      </c>
      <c r="C17" t="s">
        <v>37</v>
      </c>
      <c r="D17">
        <v>41.32</v>
      </c>
      <c r="E17">
        <v>1.52</v>
      </c>
      <c r="F17">
        <v>34.42</v>
      </c>
      <c r="G17">
        <v>17.23</v>
      </c>
      <c r="H17">
        <v>36.29</v>
      </c>
      <c r="I17" t="s">
        <v>26</v>
      </c>
      <c r="J17" t="s">
        <v>29</v>
      </c>
      <c r="K17">
        <v>70.430000000000007</v>
      </c>
      <c r="L17">
        <v>37.79</v>
      </c>
    </row>
    <row r="18" spans="1:12" x14ac:dyDescent="0.3">
      <c r="A18" t="s">
        <v>32</v>
      </c>
      <c r="B18">
        <v>2020</v>
      </c>
      <c r="C18" t="s">
        <v>33</v>
      </c>
      <c r="D18">
        <v>60.69</v>
      </c>
      <c r="E18">
        <v>56.38</v>
      </c>
      <c r="F18">
        <v>29.34</v>
      </c>
      <c r="G18">
        <v>28.55</v>
      </c>
      <c r="H18">
        <v>39.5</v>
      </c>
      <c r="I18" t="s">
        <v>24</v>
      </c>
      <c r="J18" t="s">
        <v>15</v>
      </c>
      <c r="K18">
        <v>30.81</v>
      </c>
      <c r="L18">
        <v>3.26</v>
      </c>
    </row>
    <row r="19" spans="1:12" x14ac:dyDescent="0.3">
      <c r="A19" t="s">
        <v>32</v>
      </c>
      <c r="B19">
        <v>2020</v>
      </c>
      <c r="C19" t="s">
        <v>34</v>
      </c>
      <c r="D19">
        <v>68.239999999999995</v>
      </c>
      <c r="E19">
        <v>36.33</v>
      </c>
      <c r="F19">
        <v>22.77</v>
      </c>
      <c r="G19">
        <v>24.34</v>
      </c>
      <c r="H19">
        <v>40.04</v>
      </c>
      <c r="I19" t="s">
        <v>28</v>
      </c>
      <c r="J19" t="s">
        <v>29</v>
      </c>
      <c r="K19">
        <v>45.16</v>
      </c>
      <c r="L19">
        <v>15.34</v>
      </c>
    </row>
    <row r="20" spans="1:12" x14ac:dyDescent="0.3">
      <c r="A20" t="s">
        <v>32</v>
      </c>
      <c r="B20">
        <v>2020</v>
      </c>
      <c r="C20" t="s">
        <v>25</v>
      </c>
      <c r="D20">
        <v>50.97</v>
      </c>
      <c r="E20">
        <v>16.05</v>
      </c>
      <c r="F20">
        <v>46.78</v>
      </c>
      <c r="G20">
        <v>62.71</v>
      </c>
      <c r="H20">
        <v>68.180000000000007</v>
      </c>
      <c r="I20" t="s">
        <v>35</v>
      </c>
      <c r="J20" t="s">
        <v>15</v>
      </c>
      <c r="K20">
        <v>60.09</v>
      </c>
      <c r="L20">
        <v>31.02</v>
      </c>
    </row>
    <row r="21" spans="1:12" x14ac:dyDescent="0.3">
      <c r="A21" t="s">
        <v>32</v>
      </c>
      <c r="B21">
        <v>2020</v>
      </c>
      <c r="C21" t="s">
        <v>17</v>
      </c>
      <c r="D21">
        <v>39.94</v>
      </c>
      <c r="E21">
        <v>57.79</v>
      </c>
      <c r="F21">
        <v>46.08</v>
      </c>
      <c r="G21">
        <v>44.31</v>
      </c>
      <c r="H21">
        <v>38.14</v>
      </c>
      <c r="I21" t="s">
        <v>26</v>
      </c>
      <c r="J21" t="s">
        <v>15</v>
      </c>
      <c r="K21">
        <v>46.49</v>
      </c>
      <c r="L21">
        <v>37.29</v>
      </c>
    </row>
    <row r="22" spans="1:12" x14ac:dyDescent="0.3">
      <c r="A22" t="s">
        <v>32</v>
      </c>
      <c r="B22">
        <v>2021</v>
      </c>
      <c r="C22" t="s">
        <v>40</v>
      </c>
      <c r="D22">
        <v>49.72</v>
      </c>
      <c r="E22">
        <v>73.599999999999994</v>
      </c>
      <c r="F22">
        <v>44.52</v>
      </c>
      <c r="G22">
        <v>66.78</v>
      </c>
      <c r="H22">
        <v>73.260000000000005</v>
      </c>
      <c r="I22" t="s">
        <v>26</v>
      </c>
      <c r="J22" t="s">
        <v>29</v>
      </c>
      <c r="K22">
        <v>89.07</v>
      </c>
      <c r="L22">
        <v>20.52</v>
      </c>
    </row>
    <row r="23" spans="1:12" x14ac:dyDescent="0.3">
      <c r="A23" t="s">
        <v>32</v>
      </c>
      <c r="B23">
        <v>2022</v>
      </c>
      <c r="C23" t="s">
        <v>27</v>
      </c>
      <c r="D23">
        <v>67.150000000000006</v>
      </c>
      <c r="E23">
        <v>65.709999999999994</v>
      </c>
      <c r="F23">
        <v>8.92</v>
      </c>
      <c r="G23">
        <v>19.32</v>
      </c>
      <c r="H23">
        <v>40.950000000000003</v>
      </c>
      <c r="I23" t="s">
        <v>14</v>
      </c>
      <c r="J23" t="s">
        <v>29</v>
      </c>
      <c r="K23">
        <v>48.1</v>
      </c>
      <c r="L23">
        <v>22.15</v>
      </c>
    </row>
    <row r="24" spans="1:12" x14ac:dyDescent="0.3">
      <c r="A24" t="s">
        <v>32</v>
      </c>
      <c r="B24">
        <v>2022</v>
      </c>
      <c r="C24" t="s">
        <v>34</v>
      </c>
      <c r="D24">
        <v>52.43</v>
      </c>
      <c r="E24">
        <v>90.69</v>
      </c>
      <c r="F24">
        <v>37.9</v>
      </c>
      <c r="G24">
        <v>9.7799999999999994</v>
      </c>
      <c r="H24">
        <v>67.03</v>
      </c>
      <c r="I24" t="s">
        <v>18</v>
      </c>
      <c r="J24" t="s">
        <v>15</v>
      </c>
      <c r="K24">
        <v>63.92</v>
      </c>
      <c r="L24">
        <v>47.98</v>
      </c>
    </row>
    <row r="25" spans="1:12" x14ac:dyDescent="0.3">
      <c r="A25" t="s">
        <v>32</v>
      </c>
      <c r="B25">
        <v>2022</v>
      </c>
      <c r="C25" t="s">
        <v>17</v>
      </c>
      <c r="D25">
        <v>27.53</v>
      </c>
      <c r="E25">
        <v>95.29</v>
      </c>
      <c r="F25">
        <v>29.08</v>
      </c>
      <c r="G25">
        <v>13.91</v>
      </c>
      <c r="H25">
        <v>52.29</v>
      </c>
      <c r="I25" t="s">
        <v>35</v>
      </c>
      <c r="J25" t="s">
        <v>29</v>
      </c>
      <c r="K25">
        <v>70.430000000000007</v>
      </c>
      <c r="L25">
        <v>9.06</v>
      </c>
    </row>
    <row r="26" spans="1:12" x14ac:dyDescent="0.3">
      <c r="A26" t="s">
        <v>32</v>
      </c>
      <c r="B26">
        <v>2022</v>
      </c>
      <c r="C26" t="s">
        <v>20</v>
      </c>
      <c r="D26">
        <v>11.14</v>
      </c>
      <c r="E26">
        <v>28.47</v>
      </c>
      <c r="F26">
        <v>43.11</v>
      </c>
      <c r="G26">
        <v>50.61</v>
      </c>
      <c r="H26">
        <v>78.2</v>
      </c>
      <c r="I26" t="s">
        <v>35</v>
      </c>
      <c r="J26" t="s">
        <v>29</v>
      </c>
      <c r="K26">
        <v>81.93</v>
      </c>
      <c r="L26">
        <v>47.32</v>
      </c>
    </row>
    <row r="27" spans="1:12" x14ac:dyDescent="0.3">
      <c r="A27" t="s">
        <v>32</v>
      </c>
      <c r="B27">
        <v>2023</v>
      </c>
      <c r="C27" t="s">
        <v>13</v>
      </c>
      <c r="D27">
        <v>61.49</v>
      </c>
      <c r="E27">
        <v>17.53</v>
      </c>
      <c r="F27">
        <v>48.25</v>
      </c>
      <c r="G27">
        <v>20.74</v>
      </c>
      <c r="H27">
        <v>47.72</v>
      </c>
      <c r="I27" t="s">
        <v>18</v>
      </c>
      <c r="J27" t="s">
        <v>22</v>
      </c>
      <c r="K27">
        <v>87.9</v>
      </c>
      <c r="L27">
        <v>29.32</v>
      </c>
    </row>
    <row r="28" spans="1:12" x14ac:dyDescent="0.3">
      <c r="A28" t="s">
        <v>32</v>
      </c>
      <c r="B28">
        <v>2023</v>
      </c>
      <c r="C28" t="s">
        <v>25</v>
      </c>
      <c r="D28">
        <v>31.96</v>
      </c>
      <c r="E28">
        <v>49.43</v>
      </c>
      <c r="F28">
        <v>28.25</v>
      </c>
      <c r="G28">
        <v>56.09</v>
      </c>
      <c r="H28">
        <v>79.12</v>
      </c>
      <c r="I28" t="s">
        <v>26</v>
      </c>
      <c r="J28" t="s">
        <v>15</v>
      </c>
      <c r="K28">
        <v>69.59</v>
      </c>
      <c r="L28">
        <v>21.86</v>
      </c>
    </row>
    <row r="29" spans="1:12" x14ac:dyDescent="0.3">
      <c r="A29" t="s">
        <v>32</v>
      </c>
      <c r="B29">
        <v>2025</v>
      </c>
      <c r="C29" t="s">
        <v>33</v>
      </c>
      <c r="D29">
        <v>17.02</v>
      </c>
      <c r="E29">
        <v>87.77</v>
      </c>
      <c r="F29">
        <v>4.59</v>
      </c>
      <c r="G29">
        <v>52.45</v>
      </c>
      <c r="H29">
        <v>64.72</v>
      </c>
      <c r="I29" t="s">
        <v>24</v>
      </c>
      <c r="J29" t="s">
        <v>22</v>
      </c>
      <c r="K29">
        <v>60.55</v>
      </c>
      <c r="L29">
        <v>22.7</v>
      </c>
    </row>
    <row r="30" spans="1:12" x14ac:dyDescent="0.3">
      <c r="A30" t="s">
        <v>32</v>
      </c>
      <c r="B30">
        <v>2025</v>
      </c>
      <c r="C30" t="s">
        <v>25</v>
      </c>
      <c r="D30">
        <v>94.76</v>
      </c>
      <c r="E30">
        <v>17.579999999999998</v>
      </c>
      <c r="F30">
        <v>14.48</v>
      </c>
      <c r="G30">
        <v>71.63</v>
      </c>
      <c r="H30">
        <v>67.44</v>
      </c>
      <c r="I30" t="s">
        <v>26</v>
      </c>
      <c r="J30" t="s">
        <v>15</v>
      </c>
      <c r="K30">
        <v>71.959999999999994</v>
      </c>
      <c r="L30">
        <v>34.65</v>
      </c>
    </row>
    <row r="31" spans="1:12" x14ac:dyDescent="0.3">
      <c r="A31" t="s">
        <v>32</v>
      </c>
      <c r="B31">
        <v>2025</v>
      </c>
      <c r="C31" t="s">
        <v>17</v>
      </c>
      <c r="D31">
        <v>82.25</v>
      </c>
      <c r="E31">
        <v>6.81</v>
      </c>
      <c r="F31">
        <v>30.99</v>
      </c>
      <c r="G31">
        <v>76.88</v>
      </c>
      <c r="H31">
        <v>57</v>
      </c>
      <c r="I31" t="s">
        <v>18</v>
      </c>
      <c r="J31" t="s">
        <v>29</v>
      </c>
      <c r="K31">
        <v>33.479999999999997</v>
      </c>
      <c r="L31">
        <v>27.13</v>
      </c>
    </row>
    <row r="32" spans="1:12" x14ac:dyDescent="0.3">
      <c r="A32" t="s">
        <v>32</v>
      </c>
      <c r="B32">
        <v>2025</v>
      </c>
      <c r="C32" t="s">
        <v>37</v>
      </c>
      <c r="D32">
        <v>78.430000000000007</v>
      </c>
      <c r="E32">
        <v>84.82</v>
      </c>
      <c r="F32">
        <v>26.41</v>
      </c>
      <c r="G32">
        <v>4.72</v>
      </c>
      <c r="H32">
        <v>33.28</v>
      </c>
      <c r="I32" t="s">
        <v>35</v>
      </c>
      <c r="J32" t="s">
        <v>22</v>
      </c>
      <c r="K32">
        <v>64.489999999999995</v>
      </c>
      <c r="L32">
        <v>45.04</v>
      </c>
    </row>
    <row r="33" spans="1:12" x14ac:dyDescent="0.3">
      <c r="A33" t="s">
        <v>16</v>
      </c>
      <c r="B33">
        <v>2020</v>
      </c>
      <c r="C33" t="s">
        <v>40</v>
      </c>
      <c r="D33">
        <v>45.27</v>
      </c>
      <c r="E33">
        <v>82.47</v>
      </c>
      <c r="F33">
        <v>12.07</v>
      </c>
      <c r="G33">
        <v>57.15</v>
      </c>
      <c r="H33">
        <v>57.03</v>
      </c>
      <c r="I33" t="s">
        <v>26</v>
      </c>
      <c r="J33" t="s">
        <v>15</v>
      </c>
      <c r="K33">
        <v>42.57</v>
      </c>
      <c r="L33">
        <v>39.35</v>
      </c>
    </row>
    <row r="34" spans="1:12" x14ac:dyDescent="0.3">
      <c r="A34" t="s">
        <v>16</v>
      </c>
      <c r="B34">
        <v>2020</v>
      </c>
      <c r="C34" t="s">
        <v>33</v>
      </c>
      <c r="D34">
        <v>70.7</v>
      </c>
      <c r="E34">
        <v>94.67</v>
      </c>
      <c r="F34">
        <v>37.590000000000003</v>
      </c>
      <c r="G34">
        <v>44.7</v>
      </c>
      <c r="H34">
        <v>78.66</v>
      </c>
      <c r="I34" t="s">
        <v>28</v>
      </c>
      <c r="J34" t="s">
        <v>29</v>
      </c>
      <c r="K34">
        <v>64.86</v>
      </c>
      <c r="L34">
        <v>3.86</v>
      </c>
    </row>
    <row r="35" spans="1:12" x14ac:dyDescent="0.3">
      <c r="A35" t="s">
        <v>16</v>
      </c>
      <c r="B35">
        <v>2020</v>
      </c>
      <c r="C35" t="s">
        <v>40</v>
      </c>
      <c r="D35">
        <v>72.88</v>
      </c>
      <c r="E35">
        <v>1.55</v>
      </c>
      <c r="F35">
        <v>47.77</v>
      </c>
      <c r="G35">
        <v>76.86</v>
      </c>
      <c r="H35">
        <v>55.78</v>
      </c>
      <c r="I35" t="s">
        <v>26</v>
      </c>
      <c r="J35" t="s">
        <v>22</v>
      </c>
      <c r="K35">
        <v>57.09</v>
      </c>
      <c r="L35">
        <v>12.1</v>
      </c>
    </row>
    <row r="36" spans="1:12" x14ac:dyDescent="0.3">
      <c r="A36" t="s">
        <v>16</v>
      </c>
      <c r="B36">
        <v>2020</v>
      </c>
      <c r="C36" t="s">
        <v>27</v>
      </c>
      <c r="D36">
        <v>82.41</v>
      </c>
      <c r="E36">
        <v>77.290000000000006</v>
      </c>
      <c r="F36">
        <v>11.75</v>
      </c>
      <c r="G36">
        <v>17.78</v>
      </c>
      <c r="H36">
        <v>33.19</v>
      </c>
      <c r="I36" t="s">
        <v>18</v>
      </c>
      <c r="J36" t="s">
        <v>15</v>
      </c>
      <c r="K36">
        <v>81.88</v>
      </c>
      <c r="L36">
        <v>24.11</v>
      </c>
    </row>
    <row r="37" spans="1:12" x14ac:dyDescent="0.3">
      <c r="A37" t="s">
        <v>16</v>
      </c>
      <c r="B37">
        <v>2020</v>
      </c>
      <c r="C37" t="s">
        <v>13</v>
      </c>
      <c r="D37">
        <v>43.22</v>
      </c>
      <c r="E37">
        <v>52.8</v>
      </c>
      <c r="F37">
        <v>43.2</v>
      </c>
      <c r="G37">
        <v>51.15</v>
      </c>
      <c r="H37">
        <v>51.23</v>
      </c>
      <c r="I37" t="s">
        <v>14</v>
      </c>
      <c r="J37" t="s">
        <v>22</v>
      </c>
      <c r="K37">
        <v>60.89</v>
      </c>
      <c r="L37">
        <v>33.4</v>
      </c>
    </row>
    <row r="38" spans="1:12" x14ac:dyDescent="0.3">
      <c r="A38" t="s">
        <v>16</v>
      </c>
      <c r="B38">
        <v>2020</v>
      </c>
      <c r="C38" t="s">
        <v>40</v>
      </c>
      <c r="D38">
        <v>93.49</v>
      </c>
      <c r="E38">
        <v>16.96</v>
      </c>
      <c r="F38">
        <v>20.47</v>
      </c>
      <c r="G38">
        <v>26.27</v>
      </c>
      <c r="H38">
        <v>83.71</v>
      </c>
      <c r="I38" t="s">
        <v>28</v>
      </c>
      <c r="J38" t="s">
        <v>22</v>
      </c>
      <c r="K38">
        <v>70.17</v>
      </c>
      <c r="L38">
        <v>45.17</v>
      </c>
    </row>
    <row r="39" spans="1:12" x14ac:dyDescent="0.3">
      <c r="A39" t="s">
        <v>16</v>
      </c>
      <c r="B39">
        <v>2020</v>
      </c>
      <c r="C39" t="s">
        <v>13</v>
      </c>
      <c r="D39">
        <v>35.22</v>
      </c>
      <c r="E39">
        <v>84.15</v>
      </c>
      <c r="F39">
        <v>20.440000000000001</v>
      </c>
      <c r="G39">
        <v>73.08</v>
      </c>
      <c r="H39">
        <v>65.489999999999995</v>
      </c>
      <c r="I39" t="s">
        <v>35</v>
      </c>
      <c r="J39" t="s">
        <v>29</v>
      </c>
      <c r="K39">
        <v>48.02</v>
      </c>
      <c r="L39">
        <v>22.55</v>
      </c>
    </row>
    <row r="40" spans="1:12" x14ac:dyDescent="0.3">
      <c r="A40" t="s">
        <v>16</v>
      </c>
      <c r="B40">
        <v>2021</v>
      </c>
      <c r="C40" t="s">
        <v>25</v>
      </c>
      <c r="D40">
        <v>13.9</v>
      </c>
      <c r="E40">
        <v>51.2</v>
      </c>
      <c r="F40">
        <v>49.71</v>
      </c>
      <c r="G40">
        <v>0.56999999999999995</v>
      </c>
      <c r="H40">
        <v>65.400000000000006</v>
      </c>
      <c r="I40" t="s">
        <v>21</v>
      </c>
      <c r="J40" t="s">
        <v>22</v>
      </c>
      <c r="K40">
        <v>68.69</v>
      </c>
      <c r="L40">
        <v>38.590000000000003</v>
      </c>
    </row>
    <row r="41" spans="1:12" x14ac:dyDescent="0.3">
      <c r="A41" t="s">
        <v>16</v>
      </c>
      <c r="B41">
        <v>2021</v>
      </c>
      <c r="C41" t="s">
        <v>13</v>
      </c>
      <c r="D41">
        <v>85.09</v>
      </c>
      <c r="E41">
        <v>40.119999999999997</v>
      </c>
      <c r="F41">
        <v>34.67</v>
      </c>
      <c r="G41">
        <v>50.96</v>
      </c>
      <c r="H41">
        <v>43.18</v>
      </c>
      <c r="I41" t="s">
        <v>26</v>
      </c>
      <c r="J41" t="s">
        <v>22</v>
      </c>
      <c r="K41">
        <v>61.28</v>
      </c>
      <c r="L41">
        <v>25.64</v>
      </c>
    </row>
    <row r="42" spans="1:12" x14ac:dyDescent="0.3">
      <c r="A42" t="s">
        <v>16</v>
      </c>
      <c r="B42">
        <v>2021</v>
      </c>
      <c r="C42" t="s">
        <v>41</v>
      </c>
      <c r="D42">
        <v>14.76</v>
      </c>
      <c r="E42">
        <v>58.35</v>
      </c>
      <c r="F42">
        <v>39.61</v>
      </c>
      <c r="G42">
        <v>76.52</v>
      </c>
      <c r="H42">
        <v>36.03</v>
      </c>
      <c r="I42" t="s">
        <v>35</v>
      </c>
      <c r="J42" t="s">
        <v>29</v>
      </c>
      <c r="K42">
        <v>81.84</v>
      </c>
      <c r="L42">
        <v>22.64</v>
      </c>
    </row>
    <row r="43" spans="1:12" x14ac:dyDescent="0.3">
      <c r="A43" t="s">
        <v>16</v>
      </c>
      <c r="B43">
        <v>2022</v>
      </c>
      <c r="C43" t="s">
        <v>13</v>
      </c>
      <c r="D43">
        <v>26.27</v>
      </c>
      <c r="E43">
        <v>38.130000000000003</v>
      </c>
      <c r="F43">
        <v>21.79</v>
      </c>
      <c r="G43">
        <v>3.37</v>
      </c>
      <c r="H43">
        <v>65.36</v>
      </c>
      <c r="I43" t="s">
        <v>26</v>
      </c>
      <c r="J43" t="s">
        <v>29</v>
      </c>
      <c r="K43">
        <v>54.57</v>
      </c>
      <c r="L43">
        <v>38.020000000000003</v>
      </c>
    </row>
    <row r="44" spans="1:12" x14ac:dyDescent="0.3">
      <c r="A44" t="s">
        <v>16</v>
      </c>
      <c r="B44">
        <v>2022</v>
      </c>
      <c r="C44" t="s">
        <v>20</v>
      </c>
      <c r="D44">
        <v>46.72</v>
      </c>
      <c r="E44">
        <v>85.74</v>
      </c>
      <c r="F44">
        <v>15.77</v>
      </c>
      <c r="G44">
        <v>75.69</v>
      </c>
      <c r="H44">
        <v>38.200000000000003</v>
      </c>
      <c r="I44" t="s">
        <v>28</v>
      </c>
      <c r="J44" t="s">
        <v>29</v>
      </c>
      <c r="K44">
        <v>83.61</v>
      </c>
      <c r="L44">
        <v>33.06</v>
      </c>
    </row>
    <row r="45" spans="1:12" x14ac:dyDescent="0.3">
      <c r="A45" t="s">
        <v>16</v>
      </c>
      <c r="B45">
        <v>2022</v>
      </c>
      <c r="C45" t="s">
        <v>41</v>
      </c>
      <c r="D45">
        <v>39.479999999999997</v>
      </c>
      <c r="E45">
        <v>63.35</v>
      </c>
      <c r="F45">
        <v>25.56</v>
      </c>
      <c r="G45">
        <v>55.14</v>
      </c>
      <c r="H45">
        <v>20.82</v>
      </c>
      <c r="I45" t="s">
        <v>26</v>
      </c>
      <c r="J45" t="s">
        <v>29</v>
      </c>
      <c r="K45">
        <v>42.94</v>
      </c>
      <c r="L45">
        <v>36.32</v>
      </c>
    </row>
    <row r="46" spans="1:12" x14ac:dyDescent="0.3">
      <c r="A46" t="s">
        <v>16</v>
      </c>
      <c r="B46">
        <v>2023</v>
      </c>
      <c r="C46" t="s">
        <v>17</v>
      </c>
      <c r="D46">
        <v>66.930000000000007</v>
      </c>
      <c r="E46">
        <v>6.59</v>
      </c>
      <c r="F46">
        <v>3.23</v>
      </c>
      <c r="G46">
        <v>0.85</v>
      </c>
      <c r="H46">
        <v>71.52</v>
      </c>
      <c r="I46" t="s">
        <v>26</v>
      </c>
      <c r="J46" t="s">
        <v>15</v>
      </c>
      <c r="K46">
        <v>43.34</v>
      </c>
      <c r="L46">
        <v>5.41</v>
      </c>
    </row>
    <row r="47" spans="1:12" x14ac:dyDescent="0.3">
      <c r="A47" t="s">
        <v>16</v>
      </c>
      <c r="B47">
        <v>2023</v>
      </c>
      <c r="C47" t="s">
        <v>41</v>
      </c>
      <c r="D47">
        <v>27.02</v>
      </c>
      <c r="E47">
        <v>8.68</v>
      </c>
      <c r="F47">
        <v>25.44</v>
      </c>
      <c r="G47">
        <v>8.51</v>
      </c>
      <c r="H47">
        <v>68.599999999999994</v>
      </c>
      <c r="I47" t="s">
        <v>26</v>
      </c>
      <c r="J47" t="s">
        <v>15</v>
      </c>
      <c r="K47">
        <v>84.37</v>
      </c>
      <c r="L47">
        <v>14.69</v>
      </c>
    </row>
    <row r="48" spans="1:12" x14ac:dyDescent="0.3">
      <c r="A48" t="s">
        <v>16</v>
      </c>
      <c r="B48">
        <v>2023</v>
      </c>
      <c r="C48" t="s">
        <v>34</v>
      </c>
      <c r="D48">
        <v>80.75</v>
      </c>
      <c r="E48">
        <v>60.93</v>
      </c>
      <c r="F48">
        <v>32.200000000000003</v>
      </c>
      <c r="G48">
        <v>14.67</v>
      </c>
      <c r="H48">
        <v>61.33</v>
      </c>
      <c r="I48" t="s">
        <v>24</v>
      </c>
      <c r="J48" t="s">
        <v>22</v>
      </c>
      <c r="K48">
        <v>83.72</v>
      </c>
      <c r="L48">
        <v>32.54</v>
      </c>
    </row>
    <row r="49" spans="1:12" x14ac:dyDescent="0.3">
      <c r="A49" t="s">
        <v>16</v>
      </c>
      <c r="B49">
        <v>2024</v>
      </c>
      <c r="C49" t="s">
        <v>40</v>
      </c>
      <c r="D49">
        <v>48.54</v>
      </c>
      <c r="E49">
        <v>89.58</v>
      </c>
      <c r="F49">
        <v>34.880000000000003</v>
      </c>
      <c r="G49">
        <v>66.31</v>
      </c>
      <c r="H49">
        <v>60.28</v>
      </c>
      <c r="I49" t="s">
        <v>26</v>
      </c>
      <c r="J49" t="s">
        <v>22</v>
      </c>
      <c r="K49">
        <v>30.52</v>
      </c>
      <c r="L49">
        <v>24.81</v>
      </c>
    </row>
    <row r="50" spans="1:12" x14ac:dyDescent="0.3">
      <c r="A50" t="s">
        <v>16</v>
      </c>
      <c r="B50">
        <v>2025</v>
      </c>
      <c r="C50" t="s">
        <v>17</v>
      </c>
      <c r="D50">
        <v>34.75</v>
      </c>
      <c r="E50">
        <v>66.739999999999995</v>
      </c>
      <c r="F50">
        <v>46.89</v>
      </c>
      <c r="G50">
        <v>52.46</v>
      </c>
      <c r="H50">
        <v>26.17</v>
      </c>
      <c r="I50" t="s">
        <v>18</v>
      </c>
      <c r="J50" t="s">
        <v>15</v>
      </c>
      <c r="K50">
        <v>35.67</v>
      </c>
      <c r="L50">
        <v>35.020000000000003</v>
      </c>
    </row>
    <row r="51" spans="1:12" x14ac:dyDescent="0.3">
      <c r="A51" t="s">
        <v>16</v>
      </c>
      <c r="B51">
        <v>2025</v>
      </c>
      <c r="C51" t="s">
        <v>34</v>
      </c>
      <c r="D51">
        <v>25.5</v>
      </c>
      <c r="E51">
        <v>18.739999999999998</v>
      </c>
      <c r="F51">
        <v>15.07</v>
      </c>
      <c r="G51">
        <v>40.81</v>
      </c>
      <c r="H51">
        <v>64.86</v>
      </c>
      <c r="I51" t="s">
        <v>21</v>
      </c>
      <c r="J51" t="s">
        <v>22</v>
      </c>
      <c r="K51">
        <v>51.07</v>
      </c>
      <c r="L51">
        <v>39.97</v>
      </c>
    </row>
    <row r="52" spans="1:12" x14ac:dyDescent="0.3">
      <c r="A52" t="s">
        <v>16</v>
      </c>
      <c r="B52">
        <v>2025</v>
      </c>
      <c r="C52" t="s">
        <v>17</v>
      </c>
      <c r="D52">
        <v>87.73</v>
      </c>
      <c r="E52">
        <v>44.74</v>
      </c>
      <c r="F52">
        <v>42.89</v>
      </c>
      <c r="G52">
        <v>78.5</v>
      </c>
      <c r="H52">
        <v>39.340000000000003</v>
      </c>
      <c r="I52" t="s">
        <v>18</v>
      </c>
      <c r="J52" t="s">
        <v>15</v>
      </c>
      <c r="K52">
        <v>78.540000000000006</v>
      </c>
      <c r="L52">
        <v>32.72</v>
      </c>
    </row>
    <row r="53" spans="1:12" x14ac:dyDescent="0.3">
      <c r="A53" t="s">
        <v>16</v>
      </c>
      <c r="B53">
        <v>2025</v>
      </c>
      <c r="C53" t="s">
        <v>25</v>
      </c>
      <c r="D53">
        <v>70.040000000000006</v>
      </c>
      <c r="E53">
        <v>66.599999999999994</v>
      </c>
      <c r="F53">
        <v>29.79</v>
      </c>
      <c r="G53">
        <v>23.17</v>
      </c>
      <c r="H53">
        <v>58.46</v>
      </c>
      <c r="I53" t="s">
        <v>14</v>
      </c>
      <c r="J53" t="s">
        <v>22</v>
      </c>
      <c r="K53">
        <v>41.08</v>
      </c>
      <c r="L53">
        <v>8.39</v>
      </c>
    </row>
    <row r="54" spans="1:12" x14ac:dyDescent="0.3">
      <c r="A54" t="s">
        <v>23</v>
      </c>
      <c r="B54">
        <v>2020</v>
      </c>
      <c r="C54" t="s">
        <v>37</v>
      </c>
      <c r="D54">
        <v>71</v>
      </c>
      <c r="E54">
        <v>77.53</v>
      </c>
      <c r="F54">
        <v>17.41</v>
      </c>
      <c r="G54">
        <v>12.56</v>
      </c>
      <c r="H54">
        <v>31.57</v>
      </c>
      <c r="I54" t="s">
        <v>26</v>
      </c>
      <c r="J54" t="s">
        <v>15</v>
      </c>
      <c r="K54">
        <v>56.93</v>
      </c>
      <c r="L54">
        <v>38.36</v>
      </c>
    </row>
    <row r="55" spans="1:12" x14ac:dyDescent="0.3">
      <c r="A55" t="s">
        <v>23</v>
      </c>
      <c r="B55">
        <v>2020</v>
      </c>
      <c r="C55" t="s">
        <v>20</v>
      </c>
      <c r="D55">
        <v>79.59</v>
      </c>
      <c r="E55">
        <v>20.37</v>
      </c>
      <c r="F55">
        <v>39.06</v>
      </c>
      <c r="G55">
        <v>44.06</v>
      </c>
      <c r="H55">
        <v>83.18</v>
      </c>
      <c r="I55" t="s">
        <v>35</v>
      </c>
      <c r="J55" t="s">
        <v>22</v>
      </c>
      <c r="K55">
        <v>45.04</v>
      </c>
      <c r="L55">
        <v>14.03</v>
      </c>
    </row>
    <row r="56" spans="1:12" x14ac:dyDescent="0.3">
      <c r="A56" t="s">
        <v>23</v>
      </c>
      <c r="B56">
        <v>2020</v>
      </c>
      <c r="C56" t="s">
        <v>13</v>
      </c>
      <c r="D56">
        <v>20.47</v>
      </c>
      <c r="E56">
        <v>1.61</v>
      </c>
      <c r="F56">
        <v>2.4300000000000002</v>
      </c>
      <c r="G56">
        <v>31.04</v>
      </c>
      <c r="H56">
        <v>52.49</v>
      </c>
      <c r="I56" t="s">
        <v>21</v>
      </c>
      <c r="J56" t="s">
        <v>15</v>
      </c>
      <c r="K56">
        <v>35.799999999999997</v>
      </c>
      <c r="L56">
        <v>24.29</v>
      </c>
    </row>
    <row r="57" spans="1:12" x14ac:dyDescent="0.3">
      <c r="A57" t="s">
        <v>23</v>
      </c>
      <c r="B57">
        <v>2020</v>
      </c>
      <c r="C57" t="s">
        <v>40</v>
      </c>
      <c r="D57">
        <v>93.16</v>
      </c>
      <c r="E57">
        <v>50.91</v>
      </c>
      <c r="F57">
        <v>36.57</v>
      </c>
      <c r="G57">
        <v>35.31</v>
      </c>
      <c r="H57">
        <v>78.290000000000006</v>
      </c>
      <c r="I57" t="s">
        <v>28</v>
      </c>
      <c r="J57" t="s">
        <v>29</v>
      </c>
      <c r="K57">
        <v>65.040000000000006</v>
      </c>
      <c r="L57">
        <v>9.0399999999999991</v>
      </c>
    </row>
    <row r="58" spans="1:12" x14ac:dyDescent="0.3">
      <c r="A58" t="s">
        <v>23</v>
      </c>
      <c r="B58">
        <v>2020</v>
      </c>
      <c r="C58" t="s">
        <v>17</v>
      </c>
      <c r="D58">
        <v>64.430000000000007</v>
      </c>
      <c r="E58">
        <v>41.41</v>
      </c>
      <c r="F58">
        <v>38.39</v>
      </c>
      <c r="G58">
        <v>19.260000000000002</v>
      </c>
      <c r="H58">
        <v>88.29</v>
      </c>
      <c r="I58" t="s">
        <v>18</v>
      </c>
      <c r="J58" t="s">
        <v>15</v>
      </c>
      <c r="K58">
        <v>45.13</v>
      </c>
      <c r="L58">
        <v>6.24</v>
      </c>
    </row>
    <row r="59" spans="1:12" x14ac:dyDescent="0.3">
      <c r="A59" t="s">
        <v>23</v>
      </c>
      <c r="B59">
        <v>2020</v>
      </c>
      <c r="C59" t="s">
        <v>13</v>
      </c>
      <c r="D59">
        <v>55.19</v>
      </c>
      <c r="E59">
        <v>41.06</v>
      </c>
      <c r="F59">
        <v>29.26</v>
      </c>
      <c r="G59">
        <v>51.9</v>
      </c>
      <c r="H59">
        <v>49.04</v>
      </c>
      <c r="I59" t="s">
        <v>28</v>
      </c>
      <c r="J59" t="s">
        <v>22</v>
      </c>
      <c r="K59">
        <v>50.12</v>
      </c>
      <c r="L59">
        <v>46.08</v>
      </c>
    </row>
    <row r="60" spans="1:12" x14ac:dyDescent="0.3">
      <c r="A60" t="s">
        <v>23</v>
      </c>
      <c r="B60">
        <v>2021</v>
      </c>
      <c r="C60" t="s">
        <v>17</v>
      </c>
      <c r="D60">
        <v>85.24</v>
      </c>
      <c r="E60">
        <v>93.76</v>
      </c>
      <c r="F60">
        <v>27.7</v>
      </c>
      <c r="G60">
        <v>78.239999999999995</v>
      </c>
      <c r="H60">
        <v>29.45</v>
      </c>
      <c r="I60" t="s">
        <v>24</v>
      </c>
      <c r="J60" t="s">
        <v>22</v>
      </c>
      <c r="K60">
        <v>51.84</v>
      </c>
      <c r="L60">
        <v>1.93</v>
      </c>
    </row>
    <row r="61" spans="1:12" x14ac:dyDescent="0.3">
      <c r="A61" t="s">
        <v>23</v>
      </c>
      <c r="B61">
        <v>2021</v>
      </c>
      <c r="C61" t="s">
        <v>25</v>
      </c>
      <c r="D61">
        <v>78.95</v>
      </c>
      <c r="E61">
        <v>45.62</v>
      </c>
      <c r="F61">
        <v>17.45</v>
      </c>
      <c r="G61">
        <v>1.05</v>
      </c>
      <c r="H61">
        <v>21.7</v>
      </c>
      <c r="I61" t="s">
        <v>26</v>
      </c>
      <c r="J61" t="s">
        <v>15</v>
      </c>
      <c r="K61">
        <v>41.77</v>
      </c>
      <c r="L61">
        <v>21.41</v>
      </c>
    </row>
    <row r="62" spans="1:12" x14ac:dyDescent="0.3">
      <c r="A62" t="s">
        <v>23</v>
      </c>
      <c r="B62">
        <v>2021</v>
      </c>
      <c r="C62" t="s">
        <v>17</v>
      </c>
      <c r="D62">
        <v>25.62</v>
      </c>
      <c r="E62">
        <v>86.47</v>
      </c>
      <c r="F62">
        <v>47.64</v>
      </c>
      <c r="G62">
        <v>71.099999999999994</v>
      </c>
      <c r="H62">
        <v>36.22</v>
      </c>
      <c r="I62" t="s">
        <v>14</v>
      </c>
      <c r="J62" t="s">
        <v>29</v>
      </c>
      <c r="K62">
        <v>63.66</v>
      </c>
      <c r="L62">
        <v>29.92</v>
      </c>
    </row>
    <row r="63" spans="1:12" x14ac:dyDescent="0.3">
      <c r="A63" t="s">
        <v>23</v>
      </c>
      <c r="B63">
        <v>2021</v>
      </c>
      <c r="C63" t="s">
        <v>13</v>
      </c>
      <c r="D63">
        <v>42.53</v>
      </c>
      <c r="E63">
        <v>44.38</v>
      </c>
      <c r="F63">
        <v>8.99</v>
      </c>
      <c r="G63">
        <v>49.69</v>
      </c>
      <c r="H63">
        <v>47.11</v>
      </c>
      <c r="I63" t="s">
        <v>35</v>
      </c>
      <c r="J63" t="s">
        <v>22</v>
      </c>
      <c r="K63">
        <v>55.15</v>
      </c>
      <c r="L63">
        <v>46.58</v>
      </c>
    </row>
    <row r="64" spans="1:12" x14ac:dyDescent="0.3">
      <c r="A64" t="s">
        <v>23</v>
      </c>
      <c r="B64">
        <v>2021</v>
      </c>
      <c r="C64" t="s">
        <v>25</v>
      </c>
      <c r="D64">
        <v>54.67</v>
      </c>
      <c r="E64">
        <v>64.099999999999994</v>
      </c>
      <c r="F64">
        <v>38.29</v>
      </c>
      <c r="G64">
        <v>27.12</v>
      </c>
      <c r="H64">
        <v>24.78</v>
      </c>
      <c r="I64" t="s">
        <v>21</v>
      </c>
      <c r="J64" t="s">
        <v>22</v>
      </c>
      <c r="K64">
        <v>75.599999999999994</v>
      </c>
      <c r="L64">
        <v>32.81</v>
      </c>
    </row>
    <row r="65" spans="1:12" x14ac:dyDescent="0.3">
      <c r="A65" t="s">
        <v>23</v>
      </c>
      <c r="B65">
        <v>2022</v>
      </c>
      <c r="C65" t="s">
        <v>13</v>
      </c>
      <c r="D65">
        <v>49.97</v>
      </c>
      <c r="E65">
        <v>5.59</v>
      </c>
      <c r="F65">
        <v>22.61</v>
      </c>
      <c r="G65">
        <v>17.55</v>
      </c>
      <c r="H65">
        <v>34.97</v>
      </c>
      <c r="I65" t="s">
        <v>35</v>
      </c>
      <c r="J65" t="s">
        <v>29</v>
      </c>
      <c r="K65">
        <v>78.709999999999994</v>
      </c>
      <c r="L65">
        <v>27.6</v>
      </c>
    </row>
    <row r="66" spans="1:12" x14ac:dyDescent="0.3">
      <c r="A66" t="s">
        <v>23</v>
      </c>
      <c r="B66">
        <v>2022</v>
      </c>
      <c r="C66" t="s">
        <v>27</v>
      </c>
      <c r="D66">
        <v>43.32</v>
      </c>
      <c r="E66">
        <v>18.93</v>
      </c>
      <c r="F66">
        <v>22.13</v>
      </c>
      <c r="G66">
        <v>61.74</v>
      </c>
      <c r="H66">
        <v>33.94</v>
      </c>
      <c r="I66" t="s">
        <v>24</v>
      </c>
      <c r="J66" t="s">
        <v>29</v>
      </c>
      <c r="K66">
        <v>69.97</v>
      </c>
      <c r="L66">
        <v>13.22</v>
      </c>
    </row>
    <row r="67" spans="1:12" x14ac:dyDescent="0.3">
      <c r="A67" t="s">
        <v>23</v>
      </c>
      <c r="B67">
        <v>2023</v>
      </c>
      <c r="C67" t="s">
        <v>13</v>
      </c>
      <c r="D67">
        <v>88.41</v>
      </c>
      <c r="E67">
        <v>5.34</v>
      </c>
      <c r="F67">
        <v>36.07</v>
      </c>
      <c r="G67">
        <v>13.78</v>
      </c>
      <c r="H67">
        <v>36.24</v>
      </c>
      <c r="I67" t="s">
        <v>35</v>
      </c>
      <c r="J67" t="s">
        <v>22</v>
      </c>
      <c r="K67">
        <v>58.85</v>
      </c>
      <c r="L67">
        <v>35.86</v>
      </c>
    </row>
    <row r="68" spans="1:12" x14ac:dyDescent="0.3">
      <c r="A68" t="s">
        <v>23</v>
      </c>
      <c r="B68">
        <v>2023</v>
      </c>
      <c r="C68" t="s">
        <v>17</v>
      </c>
      <c r="D68">
        <v>48.39</v>
      </c>
      <c r="E68">
        <v>57.31</v>
      </c>
      <c r="F68">
        <v>1.2</v>
      </c>
      <c r="G68">
        <v>17.95</v>
      </c>
      <c r="H68">
        <v>61.69</v>
      </c>
      <c r="I68" t="s">
        <v>14</v>
      </c>
      <c r="J68" t="s">
        <v>29</v>
      </c>
      <c r="K68">
        <v>66.25</v>
      </c>
      <c r="L68">
        <v>44.4</v>
      </c>
    </row>
    <row r="69" spans="1:12" x14ac:dyDescent="0.3">
      <c r="A69" t="s">
        <v>23</v>
      </c>
      <c r="B69">
        <v>2023</v>
      </c>
      <c r="C69" t="s">
        <v>37</v>
      </c>
      <c r="D69">
        <v>65.77</v>
      </c>
      <c r="E69">
        <v>49.83</v>
      </c>
      <c r="F69">
        <v>39.94</v>
      </c>
      <c r="G69">
        <v>79.44</v>
      </c>
      <c r="H69">
        <v>43.73</v>
      </c>
      <c r="I69" t="s">
        <v>35</v>
      </c>
      <c r="J69" t="s">
        <v>29</v>
      </c>
      <c r="K69">
        <v>81.58</v>
      </c>
      <c r="L69">
        <v>14.62</v>
      </c>
    </row>
    <row r="70" spans="1:12" x14ac:dyDescent="0.3">
      <c r="A70" t="s">
        <v>23</v>
      </c>
      <c r="B70">
        <v>2024</v>
      </c>
      <c r="C70" t="s">
        <v>41</v>
      </c>
      <c r="D70">
        <v>73.22</v>
      </c>
      <c r="E70">
        <v>94.47</v>
      </c>
      <c r="F70">
        <v>26.42</v>
      </c>
      <c r="G70">
        <v>28.86</v>
      </c>
      <c r="H70">
        <v>57.06</v>
      </c>
      <c r="I70" t="s">
        <v>21</v>
      </c>
      <c r="J70" t="s">
        <v>15</v>
      </c>
      <c r="K70">
        <v>30.17</v>
      </c>
      <c r="L70">
        <v>48.56</v>
      </c>
    </row>
    <row r="71" spans="1:12" x14ac:dyDescent="0.3">
      <c r="A71" t="s">
        <v>23</v>
      </c>
      <c r="B71">
        <v>2024</v>
      </c>
      <c r="C71" t="s">
        <v>25</v>
      </c>
      <c r="D71">
        <v>27.95</v>
      </c>
      <c r="E71">
        <v>71.37</v>
      </c>
      <c r="F71">
        <v>49.33</v>
      </c>
      <c r="G71">
        <v>0.93</v>
      </c>
      <c r="H71">
        <v>53.7</v>
      </c>
      <c r="I71" t="s">
        <v>21</v>
      </c>
      <c r="J71" t="s">
        <v>22</v>
      </c>
      <c r="K71">
        <v>87.06</v>
      </c>
      <c r="L71">
        <v>20.68</v>
      </c>
    </row>
    <row r="72" spans="1:12" x14ac:dyDescent="0.3">
      <c r="A72" t="s">
        <v>23</v>
      </c>
      <c r="B72">
        <v>2024</v>
      </c>
      <c r="C72" t="s">
        <v>20</v>
      </c>
      <c r="D72">
        <v>15.77</v>
      </c>
      <c r="E72">
        <v>23.95</v>
      </c>
      <c r="F72">
        <v>7.51</v>
      </c>
      <c r="G72">
        <v>43.32</v>
      </c>
      <c r="H72">
        <v>36.549999999999997</v>
      </c>
      <c r="I72" t="s">
        <v>28</v>
      </c>
      <c r="J72" t="s">
        <v>15</v>
      </c>
      <c r="K72">
        <v>60.71</v>
      </c>
      <c r="L72">
        <v>48.02</v>
      </c>
    </row>
    <row r="73" spans="1:12" x14ac:dyDescent="0.3">
      <c r="A73" t="s">
        <v>23</v>
      </c>
      <c r="B73">
        <v>2024</v>
      </c>
      <c r="C73" t="s">
        <v>13</v>
      </c>
      <c r="D73">
        <v>23.27</v>
      </c>
      <c r="E73">
        <v>38.75</v>
      </c>
      <c r="F73">
        <v>44.22</v>
      </c>
      <c r="G73">
        <v>67.88</v>
      </c>
      <c r="H73">
        <v>78.13</v>
      </c>
      <c r="I73" t="s">
        <v>28</v>
      </c>
      <c r="J73" t="s">
        <v>22</v>
      </c>
      <c r="K73">
        <v>72.790000000000006</v>
      </c>
      <c r="L73">
        <v>13.5</v>
      </c>
    </row>
    <row r="74" spans="1:12" x14ac:dyDescent="0.3">
      <c r="A74" t="s">
        <v>23</v>
      </c>
      <c r="B74">
        <v>2024</v>
      </c>
      <c r="C74" t="s">
        <v>34</v>
      </c>
      <c r="D74">
        <v>77.33</v>
      </c>
      <c r="E74">
        <v>51.28</v>
      </c>
      <c r="F74">
        <v>23.6</v>
      </c>
      <c r="G74">
        <v>23.16</v>
      </c>
      <c r="H74">
        <v>84.93</v>
      </c>
      <c r="I74" t="s">
        <v>28</v>
      </c>
      <c r="J74" t="s">
        <v>15</v>
      </c>
      <c r="K74">
        <v>85.01</v>
      </c>
      <c r="L74">
        <v>24.33</v>
      </c>
    </row>
    <row r="75" spans="1:12" x14ac:dyDescent="0.3">
      <c r="A75" t="s">
        <v>23</v>
      </c>
      <c r="B75">
        <v>2025</v>
      </c>
      <c r="C75" t="s">
        <v>37</v>
      </c>
      <c r="D75">
        <v>62.94</v>
      </c>
      <c r="E75">
        <v>7.49</v>
      </c>
      <c r="F75">
        <v>22.4</v>
      </c>
      <c r="G75">
        <v>71.69</v>
      </c>
      <c r="H75">
        <v>63.54</v>
      </c>
      <c r="I75" t="s">
        <v>21</v>
      </c>
      <c r="J75" t="s">
        <v>29</v>
      </c>
      <c r="K75">
        <v>44.26</v>
      </c>
      <c r="L75">
        <v>41.99</v>
      </c>
    </row>
    <row r="76" spans="1:12" x14ac:dyDescent="0.3">
      <c r="A76" t="s">
        <v>23</v>
      </c>
      <c r="B76">
        <v>2025</v>
      </c>
      <c r="C76" t="s">
        <v>13</v>
      </c>
      <c r="D76">
        <v>79.64</v>
      </c>
      <c r="E76">
        <v>87.25</v>
      </c>
      <c r="F76">
        <v>12.32</v>
      </c>
      <c r="G76">
        <v>54.75</v>
      </c>
      <c r="H76">
        <v>82.48</v>
      </c>
      <c r="I76" t="s">
        <v>18</v>
      </c>
      <c r="J76" t="s">
        <v>22</v>
      </c>
      <c r="K76">
        <v>49.54</v>
      </c>
      <c r="L76">
        <v>20.170000000000002</v>
      </c>
    </row>
    <row r="77" spans="1:12" x14ac:dyDescent="0.3">
      <c r="A77" t="s">
        <v>23</v>
      </c>
      <c r="B77">
        <v>2025</v>
      </c>
      <c r="C77" t="s">
        <v>27</v>
      </c>
      <c r="D77">
        <v>29.61</v>
      </c>
      <c r="E77">
        <v>59.56</v>
      </c>
      <c r="F77">
        <v>24.68</v>
      </c>
      <c r="G77">
        <v>46.92</v>
      </c>
      <c r="H77">
        <v>57.21</v>
      </c>
      <c r="I77" t="s">
        <v>18</v>
      </c>
      <c r="J77" t="s">
        <v>22</v>
      </c>
      <c r="K77">
        <v>31.7</v>
      </c>
      <c r="L77">
        <v>28.9</v>
      </c>
    </row>
    <row r="78" spans="1:12" x14ac:dyDescent="0.3">
      <c r="A78" t="s">
        <v>39</v>
      </c>
      <c r="B78">
        <v>2020</v>
      </c>
      <c r="C78" t="s">
        <v>41</v>
      </c>
      <c r="D78">
        <v>71.900000000000006</v>
      </c>
      <c r="E78">
        <v>21.66</v>
      </c>
      <c r="F78">
        <v>37.69</v>
      </c>
      <c r="G78">
        <v>28.02</v>
      </c>
      <c r="H78">
        <v>26.7</v>
      </c>
      <c r="I78" t="s">
        <v>26</v>
      </c>
      <c r="J78" t="s">
        <v>22</v>
      </c>
      <c r="K78">
        <v>40.799999999999997</v>
      </c>
      <c r="L78">
        <v>37.869999999999997</v>
      </c>
    </row>
    <row r="79" spans="1:12" x14ac:dyDescent="0.3">
      <c r="A79" t="s">
        <v>39</v>
      </c>
      <c r="B79">
        <v>2020</v>
      </c>
      <c r="C79" t="s">
        <v>40</v>
      </c>
      <c r="D79">
        <v>20.23</v>
      </c>
      <c r="E79">
        <v>68.16</v>
      </c>
      <c r="F79">
        <v>49.16</v>
      </c>
      <c r="G79">
        <v>38.340000000000003</v>
      </c>
      <c r="H79">
        <v>24.65</v>
      </c>
      <c r="I79" t="s">
        <v>14</v>
      </c>
      <c r="J79" t="s">
        <v>29</v>
      </c>
      <c r="K79">
        <v>58.54</v>
      </c>
      <c r="L79">
        <v>1.63</v>
      </c>
    </row>
    <row r="80" spans="1:12" x14ac:dyDescent="0.3">
      <c r="A80" t="s">
        <v>39</v>
      </c>
      <c r="B80">
        <v>2020</v>
      </c>
      <c r="C80" t="s">
        <v>13</v>
      </c>
      <c r="D80">
        <v>34.28</v>
      </c>
      <c r="E80">
        <v>76.540000000000006</v>
      </c>
      <c r="F80">
        <v>26.52</v>
      </c>
      <c r="G80">
        <v>68.89</v>
      </c>
      <c r="H80">
        <v>61.67</v>
      </c>
      <c r="I80" t="s">
        <v>28</v>
      </c>
      <c r="J80" t="s">
        <v>29</v>
      </c>
      <c r="K80">
        <v>57.88</v>
      </c>
      <c r="L80">
        <v>35.630000000000003</v>
      </c>
    </row>
    <row r="81" spans="1:12" x14ac:dyDescent="0.3">
      <c r="A81" t="s">
        <v>39</v>
      </c>
      <c r="B81">
        <v>2020</v>
      </c>
      <c r="C81" t="s">
        <v>40</v>
      </c>
      <c r="D81">
        <v>21.63</v>
      </c>
      <c r="E81">
        <v>36.58</v>
      </c>
      <c r="F81">
        <v>42.05</v>
      </c>
      <c r="G81">
        <v>61.25</v>
      </c>
      <c r="H81">
        <v>53</v>
      </c>
      <c r="I81" t="s">
        <v>35</v>
      </c>
      <c r="J81" t="s">
        <v>22</v>
      </c>
      <c r="K81">
        <v>57.27</v>
      </c>
      <c r="L81">
        <v>22.23</v>
      </c>
    </row>
    <row r="82" spans="1:12" x14ac:dyDescent="0.3">
      <c r="A82" t="s">
        <v>39</v>
      </c>
      <c r="B82">
        <v>2020</v>
      </c>
      <c r="C82" t="s">
        <v>13</v>
      </c>
      <c r="D82">
        <v>70.11</v>
      </c>
      <c r="E82">
        <v>28.26</v>
      </c>
      <c r="F82">
        <v>27.62</v>
      </c>
      <c r="G82">
        <v>57.86</v>
      </c>
      <c r="H82">
        <v>58.71</v>
      </c>
      <c r="I82" t="s">
        <v>18</v>
      </c>
      <c r="J82" t="s">
        <v>15</v>
      </c>
      <c r="K82">
        <v>78.739999999999995</v>
      </c>
      <c r="L82">
        <v>31.73</v>
      </c>
    </row>
    <row r="83" spans="1:12" x14ac:dyDescent="0.3">
      <c r="A83" t="s">
        <v>39</v>
      </c>
      <c r="B83">
        <v>2021</v>
      </c>
      <c r="C83" t="s">
        <v>37</v>
      </c>
      <c r="D83">
        <v>81.180000000000007</v>
      </c>
      <c r="E83">
        <v>3.56</v>
      </c>
      <c r="F83">
        <v>33.94</v>
      </c>
      <c r="G83">
        <v>68.33</v>
      </c>
      <c r="H83">
        <v>76.84</v>
      </c>
      <c r="I83" t="s">
        <v>24</v>
      </c>
      <c r="J83" t="s">
        <v>29</v>
      </c>
      <c r="K83">
        <v>41.73</v>
      </c>
      <c r="L83">
        <v>39.04</v>
      </c>
    </row>
    <row r="84" spans="1:12" x14ac:dyDescent="0.3">
      <c r="A84" t="s">
        <v>39</v>
      </c>
      <c r="B84">
        <v>2021</v>
      </c>
      <c r="C84" t="s">
        <v>40</v>
      </c>
      <c r="D84">
        <v>20.25</v>
      </c>
      <c r="E84">
        <v>99.06</v>
      </c>
      <c r="F84">
        <v>3.81</v>
      </c>
      <c r="G84">
        <v>6.61</v>
      </c>
      <c r="H84">
        <v>80.08</v>
      </c>
      <c r="I84" t="s">
        <v>18</v>
      </c>
      <c r="J84" t="s">
        <v>22</v>
      </c>
      <c r="K84">
        <v>80.650000000000006</v>
      </c>
      <c r="L84">
        <v>5.5</v>
      </c>
    </row>
    <row r="85" spans="1:12" x14ac:dyDescent="0.3">
      <c r="A85" t="s">
        <v>39</v>
      </c>
      <c r="B85">
        <v>2021</v>
      </c>
      <c r="C85" t="s">
        <v>33</v>
      </c>
      <c r="D85">
        <v>45.09</v>
      </c>
      <c r="E85">
        <v>11.8</v>
      </c>
      <c r="F85">
        <v>27.79</v>
      </c>
      <c r="G85">
        <v>0.14000000000000001</v>
      </c>
      <c r="H85">
        <v>39.090000000000003</v>
      </c>
      <c r="I85" t="s">
        <v>14</v>
      </c>
      <c r="J85" t="s">
        <v>15</v>
      </c>
      <c r="K85">
        <v>50.81</v>
      </c>
      <c r="L85">
        <v>20.61</v>
      </c>
    </row>
    <row r="86" spans="1:12" x14ac:dyDescent="0.3">
      <c r="A86" t="s">
        <v>39</v>
      </c>
      <c r="B86">
        <v>2021</v>
      </c>
      <c r="C86" t="s">
        <v>13</v>
      </c>
      <c r="D86">
        <v>40.799999999999997</v>
      </c>
      <c r="E86">
        <v>42.29</v>
      </c>
      <c r="F86">
        <v>21.03</v>
      </c>
      <c r="G86">
        <v>62.27</v>
      </c>
      <c r="H86">
        <v>21.16</v>
      </c>
      <c r="I86" t="s">
        <v>14</v>
      </c>
      <c r="J86" t="s">
        <v>29</v>
      </c>
      <c r="K86">
        <v>77.31</v>
      </c>
      <c r="L86">
        <v>12.95</v>
      </c>
    </row>
    <row r="87" spans="1:12" x14ac:dyDescent="0.3">
      <c r="A87" t="s">
        <v>39</v>
      </c>
      <c r="B87">
        <v>2021</v>
      </c>
      <c r="C87" t="s">
        <v>20</v>
      </c>
      <c r="D87">
        <v>89.44</v>
      </c>
      <c r="E87">
        <v>52.98</v>
      </c>
      <c r="F87">
        <v>48.47</v>
      </c>
      <c r="G87">
        <v>12.14</v>
      </c>
      <c r="H87">
        <v>30.6</v>
      </c>
      <c r="I87" t="s">
        <v>18</v>
      </c>
      <c r="J87" t="s">
        <v>29</v>
      </c>
      <c r="K87">
        <v>77.209999999999994</v>
      </c>
      <c r="L87">
        <v>44.35</v>
      </c>
    </row>
    <row r="88" spans="1:12" x14ac:dyDescent="0.3">
      <c r="A88" t="s">
        <v>39</v>
      </c>
      <c r="B88">
        <v>2022</v>
      </c>
      <c r="C88" t="s">
        <v>33</v>
      </c>
      <c r="D88">
        <v>43.85</v>
      </c>
      <c r="E88">
        <v>52.54</v>
      </c>
      <c r="F88">
        <v>32.07</v>
      </c>
      <c r="G88">
        <v>73.680000000000007</v>
      </c>
      <c r="H88">
        <v>74.08</v>
      </c>
      <c r="I88" t="s">
        <v>21</v>
      </c>
      <c r="J88" t="s">
        <v>15</v>
      </c>
      <c r="K88">
        <v>56.79</v>
      </c>
      <c r="L88">
        <v>25.07</v>
      </c>
    </row>
    <row r="89" spans="1:12" x14ac:dyDescent="0.3">
      <c r="A89" t="s">
        <v>39</v>
      </c>
      <c r="B89">
        <v>2022</v>
      </c>
      <c r="C89" t="s">
        <v>41</v>
      </c>
      <c r="D89">
        <v>87.95</v>
      </c>
      <c r="E89">
        <v>12.55</v>
      </c>
      <c r="F89">
        <v>12.61</v>
      </c>
      <c r="G89">
        <v>3.82</v>
      </c>
      <c r="H89">
        <v>25.44</v>
      </c>
      <c r="I89" t="s">
        <v>24</v>
      </c>
      <c r="J89" t="s">
        <v>29</v>
      </c>
      <c r="K89">
        <v>34.369999999999997</v>
      </c>
      <c r="L89">
        <v>31.99</v>
      </c>
    </row>
    <row r="90" spans="1:12" x14ac:dyDescent="0.3">
      <c r="A90" t="s">
        <v>39</v>
      </c>
      <c r="B90">
        <v>2023</v>
      </c>
      <c r="C90" t="s">
        <v>34</v>
      </c>
      <c r="D90">
        <v>88.75</v>
      </c>
      <c r="E90">
        <v>30.56</v>
      </c>
      <c r="F90">
        <v>31.35</v>
      </c>
      <c r="G90">
        <v>60.23</v>
      </c>
      <c r="H90">
        <v>46.53</v>
      </c>
      <c r="I90" t="s">
        <v>28</v>
      </c>
      <c r="J90" t="s">
        <v>22</v>
      </c>
      <c r="K90">
        <v>70.19</v>
      </c>
      <c r="L90">
        <v>30.79</v>
      </c>
    </row>
    <row r="91" spans="1:12" x14ac:dyDescent="0.3">
      <c r="A91" t="s">
        <v>39</v>
      </c>
      <c r="B91">
        <v>2023</v>
      </c>
      <c r="C91" t="s">
        <v>13</v>
      </c>
      <c r="D91">
        <v>43.4</v>
      </c>
      <c r="E91">
        <v>75.92</v>
      </c>
      <c r="F91">
        <v>9.64</v>
      </c>
      <c r="G91">
        <v>33.229999999999997</v>
      </c>
      <c r="H91">
        <v>42.07</v>
      </c>
      <c r="I91" t="s">
        <v>26</v>
      </c>
      <c r="J91" t="s">
        <v>22</v>
      </c>
      <c r="K91">
        <v>87.28</v>
      </c>
      <c r="L91">
        <v>48.39</v>
      </c>
    </row>
    <row r="92" spans="1:12" x14ac:dyDescent="0.3">
      <c r="A92" t="s">
        <v>39</v>
      </c>
      <c r="B92">
        <v>2023</v>
      </c>
      <c r="C92" t="s">
        <v>25</v>
      </c>
      <c r="D92">
        <v>77.959999999999994</v>
      </c>
      <c r="E92">
        <v>69.510000000000005</v>
      </c>
      <c r="F92">
        <v>21.76</v>
      </c>
      <c r="G92">
        <v>41.93</v>
      </c>
      <c r="H92">
        <v>56.36</v>
      </c>
      <c r="I92" t="s">
        <v>14</v>
      </c>
      <c r="J92" t="s">
        <v>15</v>
      </c>
      <c r="K92">
        <v>69</v>
      </c>
      <c r="L92">
        <v>39.549999999999997</v>
      </c>
    </row>
    <row r="93" spans="1:12" x14ac:dyDescent="0.3">
      <c r="A93" t="s">
        <v>39</v>
      </c>
      <c r="B93">
        <v>2023</v>
      </c>
      <c r="C93" t="s">
        <v>37</v>
      </c>
      <c r="D93">
        <v>20.95</v>
      </c>
      <c r="E93">
        <v>26.53</v>
      </c>
      <c r="F93">
        <v>5.89</v>
      </c>
      <c r="G93">
        <v>2.2799999999999998</v>
      </c>
      <c r="H93">
        <v>47.14</v>
      </c>
      <c r="I93" t="s">
        <v>28</v>
      </c>
      <c r="J93" t="s">
        <v>15</v>
      </c>
      <c r="K93">
        <v>82.45</v>
      </c>
      <c r="L93">
        <v>44.86</v>
      </c>
    </row>
    <row r="94" spans="1:12" x14ac:dyDescent="0.3">
      <c r="A94" t="s">
        <v>39</v>
      </c>
      <c r="B94">
        <v>2024</v>
      </c>
      <c r="C94" t="s">
        <v>34</v>
      </c>
      <c r="D94">
        <v>17.05</v>
      </c>
      <c r="E94">
        <v>52.86</v>
      </c>
      <c r="F94">
        <v>46.37</v>
      </c>
      <c r="G94">
        <v>70.849999999999994</v>
      </c>
      <c r="H94">
        <v>79.540000000000006</v>
      </c>
      <c r="I94" t="s">
        <v>24</v>
      </c>
      <c r="J94" t="s">
        <v>15</v>
      </c>
      <c r="K94">
        <v>83.17</v>
      </c>
      <c r="L94">
        <v>45.6</v>
      </c>
    </row>
    <row r="95" spans="1:12" x14ac:dyDescent="0.3">
      <c r="A95" t="s">
        <v>36</v>
      </c>
      <c r="B95">
        <v>2020</v>
      </c>
      <c r="C95" t="s">
        <v>13</v>
      </c>
      <c r="D95">
        <v>43.55</v>
      </c>
      <c r="E95">
        <v>14.89</v>
      </c>
      <c r="F95">
        <v>13.87</v>
      </c>
      <c r="G95">
        <v>41.09</v>
      </c>
      <c r="H95">
        <v>37.81</v>
      </c>
      <c r="I95" t="s">
        <v>28</v>
      </c>
      <c r="J95" t="s">
        <v>22</v>
      </c>
      <c r="K95">
        <v>86.44</v>
      </c>
      <c r="L95">
        <v>35.299999999999997</v>
      </c>
    </row>
    <row r="96" spans="1:12" x14ac:dyDescent="0.3">
      <c r="A96" t="s">
        <v>36</v>
      </c>
      <c r="B96">
        <v>2020</v>
      </c>
      <c r="C96" t="s">
        <v>20</v>
      </c>
      <c r="D96">
        <v>64.03</v>
      </c>
      <c r="E96">
        <v>5.21</v>
      </c>
      <c r="F96">
        <v>41.36</v>
      </c>
      <c r="G96">
        <v>53.59</v>
      </c>
      <c r="H96">
        <v>23.62</v>
      </c>
      <c r="I96" t="s">
        <v>18</v>
      </c>
      <c r="J96" t="s">
        <v>22</v>
      </c>
      <c r="K96">
        <v>37.89</v>
      </c>
      <c r="L96">
        <v>34.26</v>
      </c>
    </row>
    <row r="97" spans="1:12" x14ac:dyDescent="0.3">
      <c r="A97" t="s">
        <v>36</v>
      </c>
      <c r="B97">
        <v>2020</v>
      </c>
      <c r="C97" t="s">
        <v>33</v>
      </c>
      <c r="D97">
        <v>70.48</v>
      </c>
      <c r="E97">
        <v>19.97</v>
      </c>
      <c r="F97">
        <v>33.75</v>
      </c>
      <c r="G97">
        <v>15.07</v>
      </c>
      <c r="H97">
        <v>64.12</v>
      </c>
      <c r="I97" t="s">
        <v>21</v>
      </c>
      <c r="J97" t="s">
        <v>22</v>
      </c>
      <c r="K97">
        <v>48.13</v>
      </c>
      <c r="L97">
        <v>40.32</v>
      </c>
    </row>
    <row r="98" spans="1:12" x14ac:dyDescent="0.3">
      <c r="A98" t="s">
        <v>36</v>
      </c>
      <c r="B98">
        <v>2020</v>
      </c>
      <c r="C98" t="s">
        <v>27</v>
      </c>
      <c r="D98">
        <v>93.72</v>
      </c>
      <c r="E98">
        <v>27.55</v>
      </c>
      <c r="F98">
        <v>48.33</v>
      </c>
      <c r="G98">
        <v>31.86</v>
      </c>
      <c r="H98">
        <v>75.36</v>
      </c>
      <c r="I98" t="s">
        <v>14</v>
      </c>
      <c r="J98" t="s">
        <v>22</v>
      </c>
      <c r="K98">
        <v>73.23</v>
      </c>
      <c r="L98">
        <v>9.67</v>
      </c>
    </row>
    <row r="99" spans="1:12" x14ac:dyDescent="0.3">
      <c r="A99" t="s">
        <v>36</v>
      </c>
      <c r="B99">
        <v>2020</v>
      </c>
      <c r="C99" t="s">
        <v>20</v>
      </c>
      <c r="D99">
        <v>80.040000000000006</v>
      </c>
      <c r="E99">
        <v>36.49</v>
      </c>
      <c r="F99">
        <v>29.72</v>
      </c>
      <c r="G99">
        <v>76.739999999999995</v>
      </c>
      <c r="H99">
        <v>69.010000000000005</v>
      </c>
      <c r="I99" t="s">
        <v>28</v>
      </c>
      <c r="J99" t="s">
        <v>22</v>
      </c>
      <c r="K99">
        <v>48.27</v>
      </c>
      <c r="L99">
        <v>44.8</v>
      </c>
    </row>
    <row r="100" spans="1:12" x14ac:dyDescent="0.3">
      <c r="A100" t="s">
        <v>36</v>
      </c>
      <c r="B100">
        <v>2021</v>
      </c>
      <c r="C100" t="s">
        <v>33</v>
      </c>
      <c r="D100">
        <v>63.04</v>
      </c>
      <c r="E100">
        <v>82.49</v>
      </c>
      <c r="F100">
        <v>6.68</v>
      </c>
      <c r="G100">
        <v>50.72</v>
      </c>
      <c r="H100">
        <v>81.709999999999994</v>
      </c>
      <c r="I100" t="s">
        <v>18</v>
      </c>
      <c r="J100" t="s">
        <v>29</v>
      </c>
      <c r="K100">
        <v>33.36</v>
      </c>
      <c r="L100">
        <v>38.6</v>
      </c>
    </row>
    <row r="101" spans="1:12" x14ac:dyDescent="0.3">
      <c r="A101" t="s">
        <v>36</v>
      </c>
      <c r="B101">
        <v>2021</v>
      </c>
      <c r="C101" t="s">
        <v>40</v>
      </c>
      <c r="D101">
        <v>45.37</v>
      </c>
      <c r="E101">
        <v>48.59</v>
      </c>
      <c r="F101">
        <v>47.42</v>
      </c>
      <c r="G101">
        <v>40.659999999999997</v>
      </c>
      <c r="H101">
        <v>80.62</v>
      </c>
      <c r="I101" t="s">
        <v>14</v>
      </c>
      <c r="J101" t="s">
        <v>22</v>
      </c>
      <c r="K101">
        <v>74.959999999999994</v>
      </c>
      <c r="L101">
        <v>47.48</v>
      </c>
    </row>
    <row r="102" spans="1:12" x14ac:dyDescent="0.3">
      <c r="A102" t="s">
        <v>36</v>
      </c>
      <c r="B102">
        <v>2022</v>
      </c>
      <c r="C102" t="s">
        <v>20</v>
      </c>
      <c r="D102">
        <v>28.48</v>
      </c>
      <c r="E102">
        <v>34.49</v>
      </c>
      <c r="F102">
        <v>18.440000000000001</v>
      </c>
      <c r="G102">
        <v>23.5</v>
      </c>
      <c r="H102">
        <v>35.14</v>
      </c>
      <c r="I102" t="s">
        <v>18</v>
      </c>
      <c r="J102" t="s">
        <v>15</v>
      </c>
      <c r="K102">
        <v>57.31</v>
      </c>
      <c r="L102">
        <v>14.27</v>
      </c>
    </row>
    <row r="103" spans="1:12" x14ac:dyDescent="0.3">
      <c r="A103" t="s">
        <v>36</v>
      </c>
      <c r="B103">
        <v>2022</v>
      </c>
      <c r="C103" t="s">
        <v>13</v>
      </c>
      <c r="D103">
        <v>68.39</v>
      </c>
      <c r="E103">
        <v>34.74</v>
      </c>
      <c r="F103">
        <v>1.41</v>
      </c>
      <c r="G103">
        <v>68</v>
      </c>
      <c r="H103">
        <v>35.049999999999997</v>
      </c>
      <c r="I103" t="s">
        <v>21</v>
      </c>
      <c r="J103" t="s">
        <v>15</v>
      </c>
      <c r="K103">
        <v>88.43</v>
      </c>
      <c r="L103">
        <v>34.83</v>
      </c>
    </row>
    <row r="104" spans="1:12" x14ac:dyDescent="0.3">
      <c r="A104" t="s">
        <v>36</v>
      </c>
      <c r="B104">
        <v>2023</v>
      </c>
      <c r="C104" t="s">
        <v>25</v>
      </c>
      <c r="D104">
        <v>39.04</v>
      </c>
      <c r="E104">
        <v>78.44</v>
      </c>
      <c r="F104">
        <v>31.32</v>
      </c>
      <c r="G104">
        <v>28.93</v>
      </c>
      <c r="H104">
        <v>77.95</v>
      </c>
      <c r="I104" t="s">
        <v>28</v>
      </c>
      <c r="J104" t="s">
        <v>15</v>
      </c>
      <c r="K104">
        <v>39.630000000000003</v>
      </c>
      <c r="L104">
        <v>22.79</v>
      </c>
    </row>
    <row r="105" spans="1:12" x14ac:dyDescent="0.3">
      <c r="A105" t="s">
        <v>36</v>
      </c>
      <c r="B105">
        <v>2024</v>
      </c>
      <c r="C105" t="s">
        <v>41</v>
      </c>
      <c r="D105">
        <v>50.27</v>
      </c>
      <c r="E105">
        <v>17.89</v>
      </c>
      <c r="F105">
        <v>6.51</v>
      </c>
      <c r="G105">
        <v>30.02</v>
      </c>
      <c r="H105">
        <v>20.76</v>
      </c>
      <c r="I105" t="s">
        <v>24</v>
      </c>
      <c r="J105" t="s">
        <v>22</v>
      </c>
      <c r="K105">
        <v>32.28</v>
      </c>
      <c r="L105">
        <v>26.84</v>
      </c>
    </row>
    <row r="106" spans="1:12" x14ac:dyDescent="0.3">
      <c r="A106" t="s">
        <v>36</v>
      </c>
      <c r="B106">
        <v>2024</v>
      </c>
      <c r="C106" t="s">
        <v>37</v>
      </c>
      <c r="D106">
        <v>55.3</v>
      </c>
      <c r="E106">
        <v>67.760000000000005</v>
      </c>
      <c r="F106">
        <v>3.21</v>
      </c>
      <c r="G106">
        <v>11.15</v>
      </c>
      <c r="H106">
        <v>48.72</v>
      </c>
      <c r="I106" t="s">
        <v>35</v>
      </c>
      <c r="J106" t="s">
        <v>15</v>
      </c>
      <c r="K106">
        <v>58.79</v>
      </c>
      <c r="L106">
        <v>45.09</v>
      </c>
    </row>
    <row r="107" spans="1:12" x14ac:dyDescent="0.3">
      <c r="A107" t="s">
        <v>36</v>
      </c>
      <c r="B107">
        <v>2024</v>
      </c>
      <c r="C107" t="s">
        <v>13</v>
      </c>
      <c r="D107">
        <v>15.2</v>
      </c>
      <c r="E107">
        <v>30.75</v>
      </c>
      <c r="F107">
        <v>45.44</v>
      </c>
      <c r="G107">
        <v>16.62</v>
      </c>
      <c r="H107">
        <v>31.27</v>
      </c>
      <c r="I107" t="s">
        <v>14</v>
      </c>
      <c r="J107" t="s">
        <v>29</v>
      </c>
      <c r="K107">
        <v>61.68</v>
      </c>
      <c r="L107">
        <v>14</v>
      </c>
    </row>
    <row r="108" spans="1:12" x14ac:dyDescent="0.3">
      <c r="A108" t="s">
        <v>36</v>
      </c>
      <c r="B108">
        <v>2024</v>
      </c>
      <c r="C108" t="s">
        <v>25</v>
      </c>
      <c r="D108">
        <v>44.17</v>
      </c>
      <c r="E108">
        <v>82.35</v>
      </c>
      <c r="F108">
        <v>42.79</v>
      </c>
      <c r="G108">
        <v>49.74</v>
      </c>
      <c r="H108">
        <v>74.11</v>
      </c>
      <c r="I108" t="s">
        <v>14</v>
      </c>
      <c r="J108" t="s">
        <v>29</v>
      </c>
      <c r="K108">
        <v>81.95</v>
      </c>
      <c r="L108">
        <v>2.4900000000000002</v>
      </c>
    </row>
    <row r="109" spans="1:12" x14ac:dyDescent="0.3">
      <c r="A109" t="s">
        <v>36</v>
      </c>
      <c r="B109">
        <v>2024</v>
      </c>
      <c r="C109" t="s">
        <v>34</v>
      </c>
      <c r="D109">
        <v>59.85</v>
      </c>
      <c r="E109">
        <v>61</v>
      </c>
      <c r="F109">
        <v>41.04</v>
      </c>
      <c r="G109">
        <v>77.48</v>
      </c>
      <c r="H109">
        <v>28.32</v>
      </c>
      <c r="I109" t="s">
        <v>26</v>
      </c>
      <c r="J109" t="s">
        <v>22</v>
      </c>
      <c r="K109">
        <v>70.17</v>
      </c>
      <c r="L109">
        <v>30.75</v>
      </c>
    </row>
    <row r="110" spans="1:12" x14ac:dyDescent="0.3">
      <c r="A110" t="s">
        <v>36</v>
      </c>
      <c r="B110">
        <v>2024</v>
      </c>
      <c r="C110" t="s">
        <v>13</v>
      </c>
      <c r="D110">
        <v>52.18</v>
      </c>
      <c r="E110">
        <v>5.84</v>
      </c>
      <c r="F110">
        <v>36.799999999999997</v>
      </c>
      <c r="G110">
        <v>60.81</v>
      </c>
      <c r="H110">
        <v>42.56</v>
      </c>
      <c r="I110" t="s">
        <v>21</v>
      </c>
      <c r="J110" t="s">
        <v>15</v>
      </c>
      <c r="K110">
        <v>43.6</v>
      </c>
      <c r="L110">
        <v>14.06</v>
      </c>
    </row>
    <row r="111" spans="1:12" x14ac:dyDescent="0.3">
      <c r="A111" t="s">
        <v>36</v>
      </c>
      <c r="B111">
        <v>2025</v>
      </c>
      <c r="C111" t="s">
        <v>27</v>
      </c>
      <c r="D111">
        <v>32.74</v>
      </c>
      <c r="E111">
        <v>25.34</v>
      </c>
      <c r="F111">
        <v>9.41</v>
      </c>
      <c r="G111">
        <v>33.42</v>
      </c>
      <c r="H111">
        <v>73.55</v>
      </c>
      <c r="I111" t="s">
        <v>18</v>
      </c>
      <c r="J111" t="s">
        <v>29</v>
      </c>
      <c r="K111">
        <v>70.72</v>
      </c>
      <c r="L111">
        <v>19.93</v>
      </c>
    </row>
    <row r="112" spans="1:12" x14ac:dyDescent="0.3">
      <c r="A112" t="s">
        <v>36</v>
      </c>
      <c r="B112">
        <v>2025</v>
      </c>
      <c r="C112" t="s">
        <v>25</v>
      </c>
      <c r="D112">
        <v>16.79</v>
      </c>
      <c r="E112">
        <v>8.5</v>
      </c>
      <c r="F112">
        <v>28.43</v>
      </c>
      <c r="G112">
        <v>65.47</v>
      </c>
      <c r="H112">
        <v>23.38</v>
      </c>
      <c r="I112" t="s">
        <v>35</v>
      </c>
      <c r="J112" t="s">
        <v>22</v>
      </c>
      <c r="K112">
        <v>59.92</v>
      </c>
      <c r="L112">
        <v>16.399999999999999</v>
      </c>
    </row>
    <row r="113" spans="1:12" x14ac:dyDescent="0.3">
      <c r="A113" t="s">
        <v>36</v>
      </c>
      <c r="B113">
        <v>2025</v>
      </c>
      <c r="C113" t="s">
        <v>27</v>
      </c>
      <c r="D113">
        <v>68.209999999999994</v>
      </c>
      <c r="E113">
        <v>68.400000000000006</v>
      </c>
      <c r="F113">
        <v>9.32</v>
      </c>
      <c r="G113">
        <v>57.89</v>
      </c>
      <c r="H113">
        <v>61.89</v>
      </c>
      <c r="I113" t="s">
        <v>26</v>
      </c>
      <c r="J113" t="s">
        <v>22</v>
      </c>
      <c r="K113">
        <v>78.14</v>
      </c>
      <c r="L113">
        <v>41.3</v>
      </c>
    </row>
    <row r="114" spans="1:12" x14ac:dyDescent="0.3">
      <c r="A114" t="s">
        <v>36</v>
      </c>
      <c r="B114">
        <v>2025</v>
      </c>
      <c r="C114" t="s">
        <v>27</v>
      </c>
      <c r="D114">
        <v>33.200000000000003</v>
      </c>
      <c r="E114">
        <v>4.3099999999999996</v>
      </c>
      <c r="F114">
        <v>14.77</v>
      </c>
      <c r="G114">
        <v>66.25</v>
      </c>
      <c r="H114">
        <v>81.739999999999995</v>
      </c>
      <c r="I114" t="s">
        <v>21</v>
      </c>
      <c r="J114" t="s">
        <v>22</v>
      </c>
      <c r="K114">
        <v>49</v>
      </c>
      <c r="L114">
        <v>16.850000000000001</v>
      </c>
    </row>
    <row r="115" spans="1:12" x14ac:dyDescent="0.3">
      <c r="A115" t="s">
        <v>36</v>
      </c>
      <c r="B115">
        <v>2025</v>
      </c>
      <c r="C115" t="s">
        <v>33</v>
      </c>
      <c r="D115">
        <v>67.08</v>
      </c>
      <c r="E115">
        <v>80.64</v>
      </c>
      <c r="F115">
        <v>26.79</v>
      </c>
      <c r="G115">
        <v>15.7</v>
      </c>
      <c r="H115">
        <v>59.71</v>
      </c>
      <c r="I115" t="s">
        <v>14</v>
      </c>
      <c r="J115" t="s">
        <v>15</v>
      </c>
      <c r="K115">
        <v>53.86</v>
      </c>
      <c r="L115">
        <v>46.63</v>
      </c>
    </row>
    <row r="116" spans="1:12" x14ac:dyDescent="0.3">
      <c r="A116" t="s">
        <v>36</v>
      </c>
      <c r="B116">
        <v>2025</v>
      </c>
      <c r="C116" t="s">
        <v>27</v>
      </c>
      <c r="D116">
        <v>76.349999999999994</v>
      </c>
      <c r="E116">
        <v>78.989999999999995</v>
      </c>
      <c r="F116">
        <v>3.82</v>
      </c>
      <c r="G116">
        <v>0.73</v>
      </c>
      <c r="H116">
        <v>70.78</v>
      </c>
      <c r="I116" t="s">
        <v>21</v>
      </c>
      <c r="J116" t="s">
        <v>29</v>
      </c>
      <c r="K116">
        <v>70.39</v>
      </c>
      <c r="L116">
        <v>45.49</v>
      </c>
    </row>
    <row r="117" spans="1:12" x14ac:dyDescent="0.3">
      <c r="A117" t="s">
        <v>36</v>
      </c>
      <c r="B117">
        <v>2025</v>
      </c>
      <c r="C117" t="s">
        <v>17</v>
      </c>
      <c r="D117">
        <v>29.45</v>
      </c>
      <c r="E117">
        <v>92.91</v>
      </c>
      <c r="F117">
        <v>42.89</v>
      </c>
      <c r="G117">
        <v>14.73</v>
      </c>
      <c r="H117">
        <v>68.45</v>
      </c>
      <c r="I117" t="s">
        <v>35</v>
      </c>
      <c r="J117" t="s">
        <v>22</v>
      </c>
      <c r="K117">
        <v>73.819999999999993</v>
      </c>
      <c r="L117">
        <v>17.82</v>
      </c>
    </row>
    <row r="118" spans="1:12" x14ac:dyDescent="0.3">
      <c r="A118" t="s">
        <v>36</v>
      </c>
      <c r="B118">
        <v>2025</v>
      </c>
      <c r="C118" t="s">
        <v>33</v>
      </c>
      <c r="D118">
        <v>46.62</v>
      </c>
      <c r="E118">
        <v>72.37</v>
      </c>
      <c r="F118">
        <v>22.03</v>
      </c>
      <c r="G118">
        <v>31.66</v>
      </c>
      <c r="H118">
        <v>35.21</v>
      </c>
      <c r="I118" t="s">
        <v>35</v>
      </c>
      <c r="J118" t="s">
        <v>29</v>
      </c>
      <c r="K118">
        <v>46.02</v>
      </c>
      <c r="L118">
        <v>20.079999999999998</v>
      </c>
    </row>
    <row r="119" spans="1:12" x14ac:dyDescent="0.3">
      <c r="A119" t="s">
        <v>38</v>
      </c>
      <c r="B119">
        <v>2020</v>
      </c>
      <c r="C119" t="s">
        <v>27</v>
      </c>
      <c r="D119">
        <v>19.03</v>
      </c>
      <c r="E119">
        <v>46.6</v>
      </c>
      <c r="F119">
        <v>31.81</v>
      </c>
      <c r="G119">
        <v>47.63</v>
      </c>
      <c r="H119">
        <v>33.97</v>
      </c>
      <c r="I119" t="s">
        <v>24</v>
      </c>
      <c r="J119" t="s">
        <v>29</v>
      </c>
      <c r="K119">
        <v>78.849999999999994</v>
      </c>
      <c r="L119">
        <v>19.079999999999998</v>
      </c>
    </row>
    <row r="120" spans="1:12" x14ac:dyDescent="0.3">
      <c r="A120" t="s">
        <v>38</v>
      </c>
      <c r="B120">
        <v>2020</v>
      </c>
      <c r="C120" t="s">
        <v>13</v>
      </c>
      <c r="D120">
        <v>34.270000000000003</v>
      </c>
      <c r="E120">
        <v>4.1900000000000004</v>
      </c>
      <c r="F120">
        <v>28.58</v>
      </c>
      <c r="G120">
        <v>23.4</v>
      </c>
      <c r="H120">
        <v>24.04</v>
      </c>
      <c r="I120" t="s">
        <v>24</v>
      </c>
      <c r="J120" t="s">
        <v>29</v>
      </c>
      <c r="K120">
        <v>87.03</v>
      </c>
      <c r="L120">
        <v>39.950000000000003</v>
      </c>
    </row>
    <row r="121" spans="1:12" x14ac:dyDescent="0.3">
      <c r="A121" t="s">
        <v>38</v>
      </c>
      <c r="B121">
        <v>2021</v>
      </c>
      <c r="C121" t="s">
        <v>33</v>
      </c>
      <c r="D121">
        <v>38.42</v>
      </c>
      <c r="E121">
        <v>40.78</v>
      </c>
      <c r="F121">
        <v>23.06</v>
      </c>
      <c r="G121">
        <v>58.05</v>
      </c>
      <c r="H121">
        <v>81.05</v>
      </c>
      <c r="I121" t="s">
        <v>28</v>
      </c>
      <c r="J121" t="s">
        <v>15</v>
      </c>
      <c r="K121">
        <v>80.19</v>
      </c>
      <c r="L121">
        <v>25.28</v>
      </c>
    </row>
    <row r="122" spans="1:12" x14ac:dyDescent="0.3">
      <c r="A122" t="s">
        <v>38</v>
      </c>
      <c r="B122">
        <v>2021</v>
      </c>
      <c r="C122" t="s">
        <v>13</v>
      </c>
      <c r="D122">
        <v>76.22</v>
      </c>
      <c r="E122">
        <v>56.66</v>
      </c>
      <c r="F122">
        <v>15.67</v>
      </c>
      <c r="G122">
        <v>38.03</v>
      </c>
      <c r="H122">
        <v>33.049999999999997</v>
      </c>
      <c r="I122" t="s">
        <v>26</v>
      </c>
      <c r="J122" t="s">
        <v>29</v>
      </c>
      <c r="K122">
        <v>74.86</v>
      </c>
      <c r="L122">
        <v>49.08</v>
      </c>
    </row>
    <row r="123" spans="1:12" x14ac:dyDescent="0.3">
      <c r="A123" t="s">
        <v>38</v>
      </c>
      <c r="B123">
        <v>2022</v>
      </c>
      <c r="C123" t="s">
        <v>34</v>
      </c>
      <c r="D123">
        <v>62.98</v>
      </c>
      <c r="E123">
        <v>24.98</v>
      </c>
      <c r="F123">
        <v>27.51</v>
      </c>
      <c r="G123">
        <v>27.51</v>
      </c>
      <c r="H123">
        <v>53.78</v>
      </c>
      <c r="I123" t="s">
        <v>26</v>
      </c>
      <c r="J123" t="s">
        <v>15</v>
      </c>
      <c r="K123">
        <v>55.93</v>
      </c>
      <c r="L123">
        <v>30.55</v>
      </c>
    </row>
    <row r="124" spans="1:12" x14ac:dyDescent="0.3">
      <c r="A124" t="s">
        <v>38</v>
      </c>
      <c r="B124">
        <v>2022</v>
      </c>
      <c r="C124" t="s">
        <v>40</v>
      </c>
      <c r="D124">
        <v>41.28</v>
      </c>
      <c r="E124">
        <v>22.14</v>
      </c>
      <c r="F124">
        <v>10.33</v>
      </c>
      <c r="G124">
        <v>6.67</v>
      </c>
      <c r="H124">
        <v>40.15</v>
      </c>
      <c r="I124" t="s">
        <v>24</v>
      </c>
      <c r="J124" t="s">
        <v>29</v>
      </c>
      <c r="K124">
        <v>61.31</v>
      </c>
      <c r="L124">
        <v>33.26</v>
      </c>
    </row>
    <row r="125" spans="1:12" x14ac:dyDescent="0.3">
      <c r="A125" t="s">
        <v>38</v>
      </c>
      <c r="B125">
        <v>2022</v>
      </c>
      <c r="C125" t="s">
        <v>17</v>
      </c>
      <c r="D125">
        <v>57.35</v>
      </c>
      <c r="E125">
        <v>94.06</v>
      </c>
      <c r="F125">
        <v>37.36</v>
      </c>
      <c r="G125">
        <v>17.2</v>
      </c>
      <c r="H125">
        <v>20.37</v>
      </c>
      <c r="I125" t="s">
        <v>26</v>
      </c>
      <c r="J125" t="s">
        <v>22</v>
      </c>
      <c r="K125">
        <v>88.69</v>
      </c>
      <c r="L125">
        <v>7.53</v>
      </c>
    </row>
    <row r="126" spans="1:12" x14ac:dyDescent="0.3">
      <c r="A126" t="s">
        <v>38</v>
      </c>
      <c r="B126">
        <v>2022</v>
      </c>
      <c r="C126" t="s">
        <v>40</v>
      </c>
      <c r="D126">
        <v>28.6</v>
      </c>
      <c r="E126">
        <v>49.95</v>
      </c>
      <c r="F126">
        <v>40.020000000000003</v>
      </c>
      <c r="G126">
        <v>32.200000000000003</v>
      </c>
      <c r="H126">
        <v>22.45</v>
      </c>
      <c r="I126" t="s">
        <v>24</v>
      </c>
      <c r="J126" t="s">
        <v>22</v>
      </c>
      <c r="K126">
        <v>51.58</v>
      </c>
      <c r="L126">
        <v>29.9</v>
      </c>
    </row>
    <row r="127" spans="1:12" x14ac:dyDescent="0.3">
      <c r="A127" t="s">
        <v>38</v>
      </c>
      <c r="B127">
        <v>2022</v>
      </c>
      <c r="C127" t="s">
        <v>34</v>
      </c>
      <c r="D127">
        <v>46.79</v>
      </c>
      <c r="E127">
        <v>80.92</v>
      </c>
      <c r="F127">
        <v>15.36</v>
      </c>
      <c r="G127">
        <v>49.09</v>
      </c>
      <c r="H127">
        <v>37.15</v>
      </c>
      <c r="I127" t="s">
        <v>21</v>
      </c>
      <c r="J127" t="s">
        <v>15</v>
      </c>
      <c r="K127">
        <v>33.049999999999997</v>
      </c>
      <c r="L127">
        <v>32.61</v>
      </c>
    </row>
    <row r="128" spans="1:12" x14ac:dyDescent="0.3">
      <c r="A128" t="s">
        <v>38</v>
      </c>
      <c r="B128">
        <v>2022</v>
      </c>
      <c r="C128" t="s">
        <v>13</v>
      </c>
      <c r="D128">
        <v>20.14</v>
      </c>
      <c r="E128">
        <v>3.7</v>
      </c>
      <c r="F128">
        <v>20.68</v>
      </c>
      <c r="G128">
        <v>52.01</v>
      </c>
      <c r="H128">
        <v>37.020000000000003</v>
      </c>
      <c r="I128" t="s">
        <v>26</v>
      </c>
      <c r="J128" t="s">
        <v>22</v>
      </c>
      <c r="K128">
        <v>81.94</v>
      </c>
      <c r="L128">
        <v>43.92</v>
      </c>
    </row>
    <row r="129" spans="1:12" x14ac:dyDescent="0.3">
      <c r="A129" t="s">
        <v>38</v>
      </c>
      <c r="B129">
        <v>2023</v>
      </c>
      <c r="C129" t="s">
        <v>37</v>
      </c>
      <c r="D129">
        <v>12.86</v>
      </c>
      <c r="E129">
        <v>5.08</v>
      </c>
      <c r="F129">
        <v>18.5</v>
      </c>
      <c r="G129">
        <v>20.65</v>
      </c>
      <c r="H129">
        <v>75.67</v>
      </c>
      <c r="I129" t="s">
        <v>18</v>
      </c>
      <c r="J129" t="s">
        <v>29</v>
      </c>
      <c r="K129">
        <v>38.35</v>
      </c>
      <c r="L129">
        <v>5.25</v>
      </c>
    </row>
    <row r="130" spans="1:12" x14ac:dyDescent="0.3">
      <c r="A130" t="s">
        <v>38</v>
      </c>
      <c r="B130">
        <v>2023</v>
      </c>
      <c r="C130" t="s">
        <v>13</v>
      </c>
      <c r="D130">
        <v>71.569999999999993</v>
      </c>
      <c r="E130">
        <v>72.400000000000006</v>
      </c>
      <c r="F130">
        <v>18.28</v>
      </c>
      <c r="G130">
        <v>49.83</v>
      </c>
      <c r="H130">
        <v>32.729999999999997</v>
      </c>
      <c r="I130" t="s">
        <v>24</v>
      </c>
      <c r="J130" t="s">
        <v>22</v>
      </c>
      <c r="K130">
        <v>42.97</v>
      </c>
      <c r="L130">
        <v>28.45</v>
      </c>
    </row>
    <row r="131" spans="1:12" x14ac:dyDescent="0.3">
      <c r="A131" t="s">
        <v>38</v>
      </c>
      <c r="B131">
        <v>2023</v>
      </c>
      <c r="C131" t="s">
        <v>13</v>
      </c>
      <c r="D131">
        <v>27.61</v>
      </c>
      <c r="E131">
        <v>14.49</v>
      </c>
      <c r="F131">
        <v>35.67</v>
      </c>
      <c r="G131">
        <v>18.489999999999998</v>
      </c>
      <c r="H131">
        <v>42.88</v>
      </c>
      <c r="I131" t="s">
        <v>24</v>
      </c>
      <c r="J131" t="s">
        <v>15</v>
      </c>
      <c r="K131">
        <v>30.12</v>
      </c>
      <c r="L131">
        <v>42.23</v>
      </c>
    </row>
    <row r="132" spans="1:12" x14ac:dyDescent="0.3">
      <c r="A132" t="s">
        <v>38</v>
      </c>
      <c r="B132">
        <v>2023</v>
      </c>
      <c r="C132" t="s">
        <v>40</v>
      </c>
      <c r="D132">
        <v>78.569999999999993</v>
      </c>
      <c r="E132">
        <v>7.24</v>
      </c>
      <c r="F132">
        <v>17.23</v>
      </c>
      <c r="G132">
        <v>47.61</v>
      </c>
      <c r="H132">
        <v>43.84</v>
      </c>
      <c r="I132" t="s">
        <v>28</v>
      </c>
      <c r="J132" t="s">
        <v>29</v>
      </c>
      <c r="K132">
        <v>34.520000000000003</v>
      </c>
      <c r="L132">
        <v>39.19</v>
      </c>
    </row>
    <row r="133" spans="1:12" x14ac:dyDescent="0.3">
      <c r="A133" t="s">
        <v>38</v>
      </c>
      <c r="B133">
        <v>2023</v>
      </c>
      <c r="C133" t="s">
        <v>37</v>
      </c>
      <c r="D133">
        <v>72.59</v>
      </c>
      <c r="E133">
        <v>51.37</v>
      </c>
      <c r="F133">
        <v>40.299999999999997</v>
      </c>
      <c r="G133">
        <v>3.84</v>
      </c>
      <c r="H133">
        <v>72.92</v>
      </c>
      <c r="I133" t="s">
        <v>24</v>
      </c>
      <c r="J133" t="s">
        <v>22</v>
      </c>
      <c r="K133">
        <v>76.92</v>
      </c>
      <c r="L133">
        <v>27.59</v>
      </c>
    </row>
    <row r="134" spans="1:12" x14ac:dyDescent="0.3">
      <c r="A134" t="s">
        <v>38</v>
      </c>
      <c r="B134">
        <v>2024</v>
      </c>
      <c r="C134" t="s">
        <v>17</v>
      </c>
      <c r="D134">
        <v>67.94</v>
      </c>
      <c r="E134">
        <v>96.81</v>
      </c>
      <c r="F134">
        <v>8.84</v>
      </c>
      <c r="G134">
        <v>51.06</v>
      </c>
      <c r="H134">
        <v>23.04</v>
      </c>
      <c r="I134" t="s">
        <v>21</v>
      </c>
      <c r="J134" t="s">
        <v>29</v>
      </c>
      <c r="K134">
        <v>33.159999999999997</v>
      </c>
      <c r="L134">
        <v>7.6</v>
      </c>
    </row>
    <row r="135" spans="1:12" x14ac:dyDescent="0.3">
      <c r="A135" t="s">
        <v>38</v>
      </c>
      <c r="B135">
        <v>2024</v>
      </c>
      <c r="C135" t="s">
        <v>40</v>
      </c>
      <c r="D135">
        <v>82.72</v>
      </c>
      <c r="E135">
        <v>17.97</v>
      </c>
      <c r="F135">
        <v>23.56</v>
      </c>
      <c r="G135">
        <v>50.08</v>
      </c>
      <c r="H135">
        <v>24.06</v>
      </c>
      <c r="I135" t="s">
        <v>28</v>
      </c>
      <c r="J135" t="s">
        <v>15</v>
      </c>
      <c r="K135">
        <v>77.959999999999994</v>
      </c>
      <c r="L135">
        <v>5.46</v>
      </c>
    </row>
    <row r="136" spans="1:12" x14ac:dyDescent="0.3">
      <c r="A136" t="s">
        <v>38</v>
      </c>
      <c r="B136">
        <v>2024</v>
      </c>
      <c r="C136" t="s">
        <v>37</v>
      </c>
      <c r="D136">
        <v>88.16</v>
      </c>
      <c r="E136">
        <v>14.83</v>
      </c>
      <c r="F136">
        <v>2.86</v>
      </c>
      <c r="G136">
        <v>26.45</v>
      </c>
      <c r="H136">
        <v>47.53</v>
      </c>
      <c r="I136" t="s">
        <v>18</v>
      </c>
      <c r="J136" t="s">
        <v>22</v>
      </c>
      <c r="K136">
        <v>59.28</v>
      </c>
      <c r="L136">
        <v>20.74</v>
      </c>
    </row>
    <row r="137" spans="1:12" x14ac:dyDescent="0.3">
      <c r="A137" t="s">
        <v>38</v>
      </c>
      <c r="B137">
        <v>2025</v>
      </c>
      <c r="C137" t="s">
        <v>27</v>
      </c>
      <c r="D137">
        <v>44.97</v>
      </c>
      <c r="E137">
        <v>43.93</v>
      </c>
      <c r="F137">
        <v>32.93</v>
      </c>
      <c r="G137">
        <v>18.559999999999999</v>
      </c>
      <c r="H137">
        <v>24.81</v>
      </c>
      <c r="I137" t="s">
        <v>21</v>
      </c>
      <c r="J137" t="s">
        <v>22</v>
      </c>
      <c r="K137">
        <v>54.38</v>
      </c>
      <c r="L137">
        <v>46.37</v>
      </c>
    </row>
    <row r="138" spans="1:12" x14ac:dyDescent="0.3">
      <c r="A138" t="s">
        <v>38</v>
      </c>
      <c r="B138">
        <v>2025</v>
      </c>
      <c r="C138" t="s">
        <v>27</v>
      </c>
      <c r="D138">
        <v>35.909999999999997</v>
      </c>
      <c r="E138">
        <v>2.25</v>
      </c>
      <c r="F138">
        <v>48.37</v>
      </c>
      <c r="G138">
        <v>71.069999999999993</v>
      </c>
      <c r="H138">
        <v>68.44</v>
      </c>
      <c r="I138" t="s">
        <v>26</v>
      </c>
      <c r="J138" t="s">
        <v>22</v>
      </c>
      <c r="K138">
        <v>85.92</v>
      </c>
      <c r="L138">
        <v>33.33</v>
      </c>
    </row>
    <row r="139" spans="1:12" x14ac:dyDescent="0.3">
      <c r="A139" t="s">
        <v>38</v>
      </c>
      <c r="B139">
        <v>2025</v>
      </c>
      <c r="C139" t="s">
        <v>20</v>
      </c>
      <c r="D139">
        <v>92.96</v>
      </c>
      <c r="E139">
        <v>44.86</v>
      </c>
      <c r="F139">
        <v>14.64</v>
      </c>
      <c r="G139">
        <v>25.17</v>
      </c>
      <c r="H139">
        <v>68.19</v>
      </c>
      <c r="I139" t="s">
        <v>26</v>
      </c>
      <c r="J139" t="s">
        <v>15</v>
      </c>
      <c r="K139">
        <v>76.16</v>
      </c>
      <c r="L139">
        <v>9.4700000000000006</v>
      </c>
    </row>
    <row r="140" spans="1:12" x14ac:dyDescent="0.3">
      <c r="A140" t="s">
        <v>38</v>
      </c>
      <c r="B140">
        <v>2025</v>
      </c>
      <c r="C140" t="s">
        <v>40</v>
      </c>
      <c r="D140">
        <v>91.67</v>
      </c>
      <c r="E140">
        <v>90.28</v>
      </c>
      <c r="F140">
        <v>49.65</v>
      </c>
      <c r="G140">
        <v>26.79</v>
      </c>
      <c r="H140">
        <v>25.29</v>
      </c>
      <c r="I140" t="s">
        <v>21</v>
      </c>
      <c r="J140" t="s">
        <v>15</v>
      </c>
      <c r="K140">
        <v>38.75</v>
      </c>
      <c r="L140">
        <v>20.54</v>
      </c>
    </row>
    <row r="141" spans="1:12" x14ac:dyDescent="0.3">
      <c r="A141" t="s">
        <v>12</v>
      </c>
      <c r="B141">
        <v>2020</v>
      </c>
      <c r="C141" t="s">
        <v>20</v>
      </c>
      <c r="D141">
        <v>30.94</v>
      </c>
      <c r="E141">
        <v>82.97</v>
      </c>
      <c r="F141">
        <v>37.08</v>
      </c>
      <c r="G141">
        <v>60.61</v>
      </c>
      <c r="H141">
        <v>56.01</v>
      </c>
      <c r="I141" t="s">
        <v>14</v>
      </c>
      <c r="J141" t="s">
        <v>29</v>
      </c>
      <c r="K141">
        <v>85.1</v>
      </c>
      <c r="L141">
        <v>38.380000000000003</v>
      </c>
    </row>
    <row r="142" spans="1:12" x14ac:dyDescent="0.3">
      <c r="A142" t="s">
        <v>12</v>
      </c>
      <c r="B142">
        <v>2020</v>
      </c>
      <c r="C142" t="s">
        <v>27</v>
      </c>
      <c r="D142">
        <v>12.97</v>
      </c>
      <c r="E142">
        <v>76.22</v>
      </c>
      <c r="F142">
        <v>33.17</v>
      </c>
      <c r="G142">
        <v>75.91</v>
      </c>
      <c r="H142">
        <v>27.28</v>
      </c>
      <c r="I142" t="s">
        <v>14</v>
      </c>
      <c r="J142" t="s">
        <v>29</v>
      </c>
      <c r="K142">
        <v>64</v>
      </c>
      <c r="L142">
        <v>35.4</v>
      </c>
    </row>
    <row r="143" spans="1:12" x14ac:dyDescent="0.3">
      <c r="A143" t="s">
        <v>12</v>
      </c>
      <c r="B143">
        <v>2020</v>
      </c>
      <c r="C143" t="s">
        <v>41</v>
      </c>
      <c r="D143">
        <v>18.91</v>
      </c>
      <c r="E143">
        <v>57.4</v>
      </c>
      <c r="F143">
        <v>40.53</v>
      </c>
      <c r="G143">
        <v>49.28</v>
      </c>
      <c r="H143">
        <v>82.93</v>
      </c>
      <c r="I143" t="s">
        <v>26</v>
      </c>
      <c r="J143" t="s">
        <v>15</v>
      </c>
      <c r="K143">
        <v>68.44</v>
      </c>
      <c r="L143">
        <v>12.68</v>
      </c>
    </row>
    <row r="144" spans="1:12" x14ac:dyDescent="0.3">
      <c r="A144" t="s">
        <v>12</v>
      </c>
      <c r="B144">
        <v>2020</v>
      </c>
      <c r="C144" t="s">
        <v>33</v>
      </c>
      <c r="D144">
        <v>43.12</v>
      </c>
      <c r="E144">
        <v>42.47</v>
      </c>
      <c r="F144">
        <v>17.260000000000002</v>
      </c>
      <c r="G144">
        <v>26.12</v>
      </c>
      <c r="H144">
        <v>38.6</v>
      </c>
      <c r="I144" t="s">
        <v>28</v>
      </c>
      <c r="J144" t="s">
        <v>22</v>
      </c>
      <c r="K144">
        <v>65.569999999999993</v>
      </c>
      <c r="L144">
        <v>10.43</v>
      </c>
    </row>
    <row r="145" spans="1:12" x14ac:dyDescent="0.3">
      <c r="A145" t="s">
        <v>12</v>
      </c>
      <c r="B145">
        <v>2020</v>
      </c>
      <c r="C145" t="s">
        <v>34</v>
      </c>
      <c r="D145">
        <v>10.53</v>
      </c>
      <c r="E145">
        <v>20.97</v>
      </c>
      <c r="F145">
        <v>23.64</v>
      </c>
      <c r="G145">
        <v>34.270000000000003</v>
      </c>
      <c r="H145">
        <v>45.67</v>
      </c>
      <c r="I145" t="s">
        <v>21</v>
      </c>
      <c r="J145" t="s">
        <v>22</v>
      </c>
      <c r="K145">
        <v>58.52</v>
      </c>
      <c r="L145">
        <v>33.369999999999997</v>
      </c>
    </row>
    <row r="146" spans="1:12" x14ac:dyDescent="0.3">
      <c r="A146" t="s">
        <v>12</v>
      </c>
      <c r="B146">
        <v>2021</v>
      </c>
      <c r="C146" t="s">
        <v>37</v>
      </c>
      <c r="D146">
        <v>44.99</v>
      </c>
      <c r="E146">
        <v>7.7</v>
      </c>
      <c r="F146">
        <v>18.149999999999999</v>
      </c>
      <c r="G146">
        <v>52.91</v>
      </c>
      <c r="H146">
        <v>80.25</v>
      </c>
      <c r="I146" t="s">
        <v>28</v>
      </c>
      <c r="J146" t="s">
        <v>22</v>
      </c>
      <c r="K146">
        <v>32.020000000000003</v>
      </c>
      <c r="L146">
        <v>48.91</v>
      </c>
    </row>
    <row r="147" spans="1:12" x14ac:dyDescent="0.3">
      <c r="A147" t="s">
        <v>12</v>
      </c>
      <c r="B147">
        <v>2021</v>
      </c>
      <c r="C147" t="s">
        <v>34</v>
      </c>
      <c r="D147">
        <v>67.97</v>
      </c>
      <c r="E147">
        <v>38.18</v>
      </c>
      <c r="F147">
        <v>21.57</v>
      </c>
      <c r="G147">
        <v>17.600000000000001</v>
      </c>
      <c r="H147">
        <v>20.43</v>
      </c>
      <c r="I147" t="s">
        <v>26</v>
      </c>
      <c r="J147" t="s">
        <v>22</v>
      </c>
      <c r="K147">
        <v>46.5</v>
      </c>
      <c r="L147">
        <v>20.88</v>
      </c>
    </row>
    <row r="148" spans="1:12" x14ac:dyDescent="0.3">
      <c r="A148" t="s">
        <v>12</v>
      </c>
      <c r="B148">
        <v>2021</v>
      </c>
      <c r="C148" t="s">
        <v>34</v>
      </c>
      <c r="D148">
        <v>53.76</v>
      </c>
      <c r="E148">
        <v>94.77</v>
      </c>
      <c r="F148">
        <v>4.08</v>
      </c>
      <c r="G148">
        <v>31.27</v>
      </c>
      <c r="H148">
        <v>32.229999999999997</v>
      </c>
      <c r="I148" t="s">
        <v>14</v>
      </c>
      <c r="J148" t="s">
        <v>29</v>
      </c>
      <c r="K148">
        <v>51.34</v>
      </c>
      <c r="L148">
        <v>1.18</v>
      </c>
    </row>
    <row r="149" spans="1:12" x14ac:dyDescent="0.3">
      <c r="A149" t="s">
        <v>12</v>
      </c>
      <c r="B149">
        <v>2022</v>
      </c>
      <c r="C149" t="s">
        <v>13</v>
      </c>
      <c r="D149">
        <v>44.29</v>
      </c>
      <c r="E149">
        <v>33.090000000000003</v>
      </c>
      <c r="F149">
        <v>16.77</v>
      </c>
      <c r="G149">
        <v>46.12</v>
      </c>
      <c r="H149">
        <v>74.790000000000006</v>
      </c>
      <c r="I149" t="s">
        <v>14</v>
      </c>
      <c r="J149" t="s">
        <v>15</v>
      </c>
      <c r="K149">
        <v>40.770000000000003</v>
      </c>
      <c r="L149">
        <v>18.73</v>
      </c>
    </row>
    <row r="150" spans="1:12" x14ac:dyDescent="0.3">
      <c r="A150" t="s">
        <v>12</v>
      </c>
      <c r="B150">
        <v>2022</v>
      </c>
      <c r="C150" t="s">
        <v>25</v>
      </c>
      <c r="D150">
        <v>74.66</v>
      </c>
      <c r="E150">
        <v>26.14</v>
      </c>
      <c r="F150">
        <v>8.89</v>
      </c>
      <c r="G150">
        <v>6.35</v>
      </c>
      <c r="H150">
        <v>58.99</v>
      </c>
      <c r="I150" t="s">
        <v>24</v>
      </c>
      <c r="J150" t="s">
        <v>29</v>
      </c>
      <c r="K150">
        <v>83.38</v>
      </c>
      <c r="L150">
        <v>29.08</v>
      </c>
    </row>
    <row r="151" spans="1:12" x14ac:dyDescent="0.3">
      <c r="A151" t="s">
        <v>12</v>
      </c>
      <c r="B151">
        <v>2023</v>
      </c>
      <c r="C151" t="s">
        <v>37</v>
      </c>
      <c r="D151">
        <v>74.81</v>
      </c>
      <c r="E151">
        <v>54.67</v>
      </c>
      <c r="F151">
        <v>22.3</v>
      </c>
      <c r="G151">
        <v>52.34</v>
      </c>
      <c r="H151">
        <v>84.8</v>
      </c>
      <c r="I151" t="s">
        <v>21</v>
      </c>
      <c r="J151" t="s">
        <v>29</v>
      </c>
      <c r="K151">
        <v>42.06</v>
      </c>
      <c r="L151">
        <v>11.7</v>
      </c>
    </row>
    <row r="152" spans="1:12" x14ac:dyDescent="0.3">
      <c r="A152" t="s">
        <v>12</v>
      </c>
      <c r="B152">
        <v>2023</v>
      </c>
      <c r="C152" t="s">
        <v>17</v>
      </c>
      <c r="D152">
        <v>75.42</v>
      </c>
      <c r="E152">
        <v>24.03</v>
      </c>
      <c r="F152">
        <v>28.82</v>
      </c>
      <c r="G152">
        <v>42.27</v>
      </c>
      <c r="H152">
        <v>54.72</v>
      </c>
      <c r="I152" t="s">
        <v>21</v>
      </c>
      <c r="J152" t="s">
        <v>29</v>
      </c>
      <c r="K152">
        <v>74.849999999999994</v>
      </c>
      <c r="L152">
        <v>11.26</v>
      </c>
    </row>
    <row r="153" spans="1:12" x14ac:dyDescent="0.3">
      <c r="A153" t="s">
        <v>12</v>
      </c>
      <c r="B153">
        <v>2023</v>
      </c>
      <c r="C153" t="s">
        <v>41</v>
      </c>
      <c r="D153">
        <v>83.74</v>
      </c>
      <c r="E153">
        <v>19.68</v>
      </c>
      <c r="F153">
        <v>33.549999999999997</v>
      </c>
      <c r="G153">
        <v>1.75</v>
      </c>
      <c r="H153">
        <v>64.790000000000006</v>
      </c>
      <c r="I153" t="s">
        <v>28</v>
      </c>
      <c r="J153" t="s">
        <v>22</v>
      </c>
      <c r="K153">
        <v>70.63</v>
      </c>
      <c r="L153">
        <v>46.78</v>
      </c>
    </row>
    <row r="154" spans="1:12" x14ac:dyDescent="0.3">
      <c r="A154" t="s">
        <v>12</v>
      </c>
      <c r="B154">
        <v>2024</v>
      </c>
      <c r="C154" t="s">
        <v>27</v>
      </c>
      <c r="D154">
        <v>26.63</v>
      </c>
      <c r="E154">
        <v>95.37</v>
      </c>
      <c r="F154">
        <v>49.58</v>
      </c>
      <c r="G154">
        <v>1.75</v>
      </c>
      <c r="H154">
        <v>72.349999999999994</v>
      </c>
      <c r="I154" t="s">
        <v>26</v>
      </c>
      <c r="J154" t="s">
        <v>15</v>
      </c>
      <c r="K154">
        <v>53.62</v>
      </c>
      <c r="L154">
        <v>48.53</v>
      </c>
    </row>
    <row r="155" spans="1:12" x14ac:dyDescent="0.3">
      <c r="A155" t="s">
        <v>12</v>
      </c>
      <c r="B155">
        <v>2024</v>
      </c>
      <c r="C155" t="s">
        <v>13</v>
      </c>
      <c r="D155">
        <v>25.98</v>
      </c>
      <c r="E155">
        <v>52.9</v>
      </c>
      <c r="F155">
        <v>16.059999999999999</v>
      </c>
      <c r="G155">
        <v>11.74</v>
      </c>
      <c r="H155">
        <v>47.03</v>
      </c>
      <c r="I155" t="s">
        <v>24</v>
      </c>
      <c r="J155" t="s">
        <v>15</v>
      </c>
      <c r="K155">
        <v>55.83</v>
      </c>
      <c r="L155">
        <v>42.56</v>
      </c>
    </row>
    <row r="156" spans="1:12" x14ac:dyDescent="0.3">
      <c r="A156" t="s">
        <v>12</v>
      </c>
      <c r="B156">
        <v>2024</v>
      </c>
      <c r="C156" t="s">
        <v>17</v>
      </c>
      <c r="D156">
        <v>57.15</v>
      </c>
      <c r="E156">
        <v>92.02</v>
      </c>
      <c r="F156">
        <v>29.64</v>
      </c>
      <c r="G156">
        <v>73.89</v>
      </c>
      <c r="H156">
        <v>81.93</v>
      </c>
      <c r="I156" t="s">
        <v>18</v>
      </c>
      <c r="J156" t="s">
        <v>22</v>
      </c>
      <c r="K156">
        <v>60.67</v>
      </c>
      <c r="L156">
        <v>37.770000000000003</v>
      </c>
    </row>
    <row r="157" spans="1:12" x14ac:dyDescent="0.3">
      <c r="A157" t="s">
        <v>12</v>
      </c>
      <c r="B157">
        <v>2025</v>
      </c>
      <c r="C157" t="s">
        <v>34</v>
      </c>
      <c r="D157">
        <v>44.1</v>
      </c>
      <c r="E157">
        <v>87.85</v>
      </c>
      <c r="F157">
        <v>39.96</v>
      </c>
      <c r="G157">
        <v>33.44</v>
      </c>
      <c r="H157">
        <v>72.72</v>
      </c>
      <c r="I157" t="s">
        <v>26</v>
      </c>
      <c r="J157" t="s">
        <v>29</v>
      </c>
      <c r="K157">
        <v>76.739999999999995</v>
      </c>
      <c r="L157">
        <v>40.98</v>
      </c>
    </row>
    <row r="158" spans="1:12" x14ac:dyDescent="0.3">
      <c r="A158" t="s">
        <v>12</v>
      </c>
      <c r="B158">
        <v>2025</v>
      </c>
      <c r="C158" t="s">
        <v>17</v>
      </c>
      <c r="D158">
        <v>52.86</v>
      </c>
      <c r="E158">
        <v>10.91</v>
      </c>
      <c r="F158">
        <v>17.3</v>
      </c>
      <c r="G158">
        <v>57.82</v>
      </c>
      <c r="H158">
        <v>45.95</v>
      </c>
      <c r="I158" t="s">
        <v>14</v>
      </c>
      <c r="J158" t="s">
        <v>29</v>
      </c>
      <c r="K158">
        <v>79.040000000000006</v>
      </c>
      <c r="L158">
        <v>4.09</v>
      </c>
    </row>
    <row r="159" spans="1:12" x14ac:dyDescent="0.3">
      <c r="A159" t="s">
        <v>12</v>
      </c>
      <c r="B159">
        <v>2025</v>
      </c>
      <c r="C159" t="s">
        <v>34</v>
      </c>
      <c r="D159">
        <v>86.58</v>
      </c>
      <c r="E159">
        <v>20.96</v>
      </c>
      <c r="F159">
        <v>24.08</v>
      </c>
      <c r="G159">
        <v>2.4900000000000002</v>
      </c>
      <c r="H159">
        <v>84.48</v>
      </c>
      <c r="I159" t="s">
        <v>24</v>
      </c>
      <c r="J159" t="s">
        <v>15</v>
      </c>
      <c r="K159">
        <v>60.05</v>
      </c>
      <c r="L159">
        <v>42.29</v>
      </c>
    </row>
    <row r="160" spans="1:12" x14ac:dyDescent="0.3">
      <c r="A160" t="s">
        <v>12</v>
      </c>
      <c r="B160">
        <v>2025</v>
      </c>
      <c r="C160" t="s">
        <v>25</v>
      </c>
      <c r="D160">
        <v>81.86</v>
      </c>
      <c r="E160">
        <v>35.53</v>
      </c>
      <c r="F160">
        <v>28.46</v>
      </c>
      <c r="G160">
        <v>7.11</v>
      </c>
      <c r="H160">
        <v>63.48</v>
      </c>
      <c r="I160" t="s">
        <v>28</v>
      </c>
      <c r="J160" t="s">
        <v>22</v>
      </c>
      <c r="K160">
        <v>31.33</v>
      </c>
      <c r="L160">
        <v>11.61</v>
      </c>
    </row>
    <row r="161" spans="1:12" x14ac:dyDescent="0.3">
      <c r="A161" t="s">
        <v>31</v>
      </c>
      <c r="B161">
        <v>2020</v>
      </c>
      <c r="C161" t="s">
        <v>17</v>
      </c>
      <c r="D161">
        <v>50.34</v>
      </c>
      <c r="E161">
        <v>50.7</v>
      </c>
      <c r="F161">
        <v>1.04</v>
      </c>
      <c r="G161">
        <v>0.57999999999999996</v>
      </c>
      <c r="H161">
        <v>68.069999999999993</v>
      </c>
      <c r="I161" t="s">
        <v>35</v>
      </c>
      <c r="J161" t="s">
        <v>15</v>
      </c>
      <c r="K161">
        <v>37.36</v>
      </c>
      <c r="L161">
        <v>28.87</v>
      </c>
    </row>
    <row r="162" spans="1:12" x14ac:dyDescent="0.3">
      <c r="A162" t="s">
        <v>31</v>
      </c>
      <c r="B162">
        <v>2020</v>
      </c>
      <c r="C162" t="s">
        <v>33</v>
      </c>
      <c r="D162">
        <v>70.59</v>
      </c>
      <c r="E162">
        <v>64.569999999999993</v>
      </c>
      <c r="F162">
        <v>23.88</v>
      </c>
      <c r="G162">
        <v>69.349999999999994</v>
      </c>
      <c r="H162">
        <v>55.02</v>
      </c>
      <c r="I162" t="s">
        <v>24</v>
      </c>
      <c r="J162" t="s">
        <v>29</v>
      </c>
      <c r="K162">
        <v>89.88</v>
      </c>
      <c r="L162">
        <v>4.47</v>
      </c>
    </row>
    <row r="163" spans="1:12" x14ac:dyDescent="0.3">
      <c r="A163" t="s">
        <v>31</v>
      </c>
      <c r="B163">
        <v>2020</v>
      </c>
      <c r="C163" t="s">
        <v>33</v>
      </c>
      <c r="D163">
        <v>67.489999999999995</v>
      </c>
      <c r="E163">
        <v>35.369999999999997</v>
      </c>
      <c r="F163">
        <v>37.69</v>
      </c>
      <c r="G163">
        <v>49.79</v>
      </c>
      <c r="H163">
        <v>53.15</v>
      </c>
      <c r="I163" t="s">
        <v>21</v>
      </c>
      <c r="J163" t="s">
        <v>22</v>
      </c>
      <c r="K163">
        <v>35.56</v>
      </c>
      <c r="L163">
        <v>47.38</v>
      </c>
    </row>
    <row r="164" spans="1:12" x14ac:dyDescent="0.3">
      <c r="A164" t="s">
        <v>31</v>
      </c>
      <c r="B164">
        <v>2020</v>
      </c>
      <c r="C164" t="s">
        <v>20</v>
      </c>
      <c r="D164">
        <v>63.03</v>
      </c>
      <c r="E164">
        <v>26.18</v>
      </c>
      <c r="F164">
        <v>31.41</v>
      </c>
      <c r="G164">
        <v>57.91</v>
      </c>
      <c r="H164">
        <v>63.9</v>
      </c>
      <c r="I164" t="s">
        <v>26</v>
      </c>
      <c r="J164" t="s">
        <v>29</v>
      </c>
      <c r="K164">
        <v>83.66</v>
      </c>
      <c r="L164">
        <v>6.21</v>
      </c>
    </row>
    <row r="165" spans="1:12" x14ac:dyDescent="0.3">
      <c r="A165" t="s">
        <v>31</v>
      </c>
      <c r="B165">
        <v>2020</v>
      </c>
      <c r="C165" t="s">
        <v>41</v>
      </c>
      <c r="D165">
        <v>88.23</v>
      </c>
      <c r="E165">
        <v>20.18</v>
      </c>
      <c r="F165">
        <v>17.850000000000001</v>
      </c>
      <c r="G165">
        <v>10.99</v>
      </c>
      <c r="H165">
        <v>85.27</v>
      </c>
      <c r="I165" t="s">
        <v>24</v>
      </c>
      <c r="J165" t="s">
        <v>22</v>
      </c>
      <c r="K165">
        <v>32.96</v>
      </c>
      <c r="L165">
        <v>32.229999999999997</v>
      </c>
    </row>
    <row r="166" spans="1:12" x14ac:dyDescent="0.3">
      <c r="A166" t="s">
        <v>31</v>
      </c>
      <c r="B166">
        <v>2021</v>
      </c>
      <c r="C166" t="s">
        <v>25</v>
      </c>
      <c r="D166">
        <v>88.38</v>
      </c>
      <c r="E166">
        <v>12.43</v>
      </c>
      <c r="F166">
        <v>23.7</v>
      </c>
      <c r="G166">
        <v>52.51</v>
      </c>
      <c r="H166">
        <v>59.75</v>
      </c>
      <c r="I166" t="s">
        <v>21</v>
      </c>
      <c r="J166" t="s">
        <v>22</v>
      </c>
      <c r="K166">
        <v>54.27</v>
      </c>
      <c r="L166">
        <v>48.93</v>
      </c>
    </row>
    <row r="167" spans="1:12" x14ac:dyDescent="0.3">
      <c r="A167" t="s">
        <v>31</v>
      </c>
      <c r="B167">
        <v>2021</v>
      </c>
      <c r="C167" t="s">
        <v>20</v>
      </c>
      <c r="D167">
        <v>46.44</v>
      </c>
      <c r="E167">
        <v>26.16</v>
      </c>
      <c r="F167">
        <v>49.1</v>
      </c>
      <c r="G167">
        <v>64.98</v>
      </c>
      <c r="H167">
        <v>52.91</v>
      </c>
      <c r="I167" t="s">
        <v>26</v>
      </c>
      <c r="J167" t="s">
        <v>15</v>
      </c>
      <c r="K167">
        <v>68.319999999999993</v>
      </c>
      <c r="L167">
        <v>34.39</v>
      </c>
    </row>
    <row r="168" spans="1:12" x14ac:dyDescent="0.3">
      <c r="A168" t="s">
        <v>31</v>
      </c>
      <c r="B168">
        <v>2021</v>
      </c>
      <c r="C168" t="s">
        <v>33</v>
      </c>
      <c r="D168">
        <v>21.57</v>
      </c>
      <c r="E168">
        <v>77.010000000000005</v>
      </c>
      <c r="F168">
        <v>32.520000000000003</v>
      </c>
      <c r="G168">
        <v>13.61</v>
      </c>
      <c r="H168">
        <v>37.65</v>
      </c>
      <c r="I168" t="s">
        <v>28</v>
      </c>
      <c r="J168" t="s">
        <v>15</v>
      </c>
      <c r="K168">
        <v>33.61</v>
      </c>
      <c r="L168">
        <v>18.87</v>
      </c>
    </row>
    <row r="169" spans="1:12" x14ac:dyDescent="0.3">
      <c r="A169" t="s">
        <v>31</v>
      </c>
      <c r="B169">
        <v>2022</v>
      </c>
      <c r="C169" t="s">
        <v>20</v>
      </c>
      <c r="D169">
        <v>80.83</v>
      </c>
      <c r="E169">
        <v>67.55</v>
      </c>
      <c r="F169">
        <v>42.39</v>
      </c>
      <c r="G169">
        <v>51.87</v>
      </c>
      <c r="H169">
        <v>74.39</v>
      </c>
      <c r="I169" t="s">
        <v>35</v>
      </c>
      <c r="J169" t="s">
        <v>15</v>
      </c>
      <c r="K169">
        <v>33.56</v>
      </c>
      <c r="L169">
        <v>21.66</v>
      </c>
    </row>
    <row r="170" spans="1:12" x14ac:dyDescent="0.3">
      <c r="A170" t="s">
        <v>31</v>
      </c>
      <c r="B170">
        <v>2022</v>
      </c>
      <c r="C170" t="s">
        <v>25</v>
      </c>
      <c r="D170">
        <v>89.74</v>
      </c>
      <c r="E170">
        <v>15.64</v>
      </c>
      <c r="F170">
        <v>10.14</v>
      </c>
      <c r="G170">
        <v>3.8</v>
      </c>
      <c r="H170">
        <v>33.44</v>
      </c>
      <c r="I170" t="s">
        <v>26</v>
      </c>
      <c r="J170" t="s">
        <v>22</v>
      </c>
      <c r="K170">
        <v>42.99</v>
      </c>
      <c r="L170">
        <v>32.229999999999997</v>
      </c>
    </row>
    <row r="171" spans="1:12" x14ac:dyDescent="0.3">
      <c r="A171" t="s">
        <v>31</v>
      </c>
      <c r="B171">
        <v>2022</v>
      </c>
      <c r="C171" t="s">
        <v>37</v>
      </c>
      <c r="D171">
        <v>73.89</v>
      </c>
      <c r="E171">
        <v>16.63</v>
      </c>
      <c r="F171">
        <v>47.25</v>
      </c>
      <c r="G171">
        <v>68.91</v>
      </c>
      <c r="H171">
        <v>60.15</v>
      </c>
      <c r="I171" t="s">
        <v>28</v>
      </c>
      <c r="J171" t="s">
        <v>15</v>
      </c>
      <c r="K171">
        <v>34.4</v>
      </c>
      <c r="L171">
        <v>27.19</v>
      </c>
    </row>
    <row r="172" spans="1:12" x14ac:dyDescent="0.3">
      <c r="A172" t="s">
        <v>31</v>
      </c>
      <c r="B172">
        <v>2022</v>
      </c>
      <c r="C172" t="s">
        <v>20</v>
      </c>
      <c r="D172">
        <v>11.99</v>
      </c>
      <c r="E172">
        <v>28</v>
      </c>
      <c r="F172">
        <v>21.71</v>
      </c>
      <c r="G172">
        <v>5.14</v>
      </c>
      <c r="H172">
        <v>66.59</v>
      </c>
      <c r="I172" t="s">
        <v>18</v>
      </c>
      <c r="J172" t="s">
        <v>29</v>
      </c>
      <c r="K172">
        <v>41.71</v>
      </c>
      <c r="L172">
        <v>5.19</v>
      </c>
    </row>
    <row r="173" spans="1:12" x14ac:dyDescent="0.3">
      <c r="A173" t="s">
        <v>31</v>
      </c>
      <c r="B173">
        <v>2022</v>
      </c>
      <c r="C173" t="s">
        <v>25</v>
      </c>
      <c r="D173">
        <v>30.18</v>
      </c>
      <c r="E173">
        <v>97.54</v>
      </c>
      <c r="F173">
        <v>18.39</v>
      </c>
      <c r="G173">
        <v>14.76</v>
      </c>
      <c r="H173">
        <v>49.67</v>
      </c>
      <c r="I173" t="s">
        <v>26</v>
      </c>
      <c r="J173" t="s">
        <v>22</v>
      </c>
      <c r="K173">
        <v>89.76</v>
      </c>
      <c r="L173">
        <v>12.56</v>
      </c>
    </row>
    <row r="174" spans="1:12" x14ac:dyDescent="0.3">
      <c r="A174" t="s">
        <v>31</v>
      </c>
      <c r="B174">
        <v>2023</v>
      </c>
      <c r="C174" t="s">
        <v>25</v>
      </c>
      <c r="D174">
        <v>91.27</v>
      </c>
      <c r="E174">
        <v>33.869999999999997</v>
      </c>
      <c r="F174">
        <v>41.67</v>
      </c>
      <c r="G174">
        <v>56.26</v>
      </c>
      <c r="H174">
        <v>59.93</v>
      </c>
      <c r="I174" t="s">
        <v>28</v>
      </c>
      <c r="J174" t="s">
        <v>22</v>
      </c>
      <c r="K174">
        <v>46.98</v>
      </c>
      <c r="L174">
        <v>28.51</v>
      </c>
    </row>
    <row r="175" spans="1:12" x14ac:dyDescent="0.3">
      <c r="A175" t="s">
        <v>31</v>
      </c>
      <c r="B175">
        <v>2023</v>
      </c>
      <c r="C175" t="s">
        <v>33</v>
      </c>
      <c r="D175">
        <v>82.82</v>
      </c>
      <c r="E175">
        <v>75.53</v>
      </c>
      <c r="F175">
        <v>22.34</v>
      </c>
      <c r="G175">
        <v>1.44</v>
      </c>
      <c r="H175">
        <v>40.39</v>
      </c>
      <c r="I175" t="s">
        <v>26</v>
      </c>
      <c r="J175" t="s">
        <v>15</v>
      </c>
      <c r="K175">
        <v>36.479999999999997</v>
      </c>
      <c r="L175">
        <v>17.29</v>
      </c>
    </row>
    <row r="176" spans="1:12" x14ac:dyDescent="0.3">
      <c r="A176" t="s">
        <v>31</v>
      </c>
      <c r="B176">
        <v>2024</v>
      </c>
      <c r="C176" t="s">
        <v>25</v>
      </c>
      <c r="D176">
        <v>77.52</v>
      </c>
      <c r="E176">
        <v>3.4</v>
      </c>
      <c r="F176">
        <v>14.58</v>
      </c>
      <c r="G176">
        <v>67.900000000000006</v>
      </c>
      <c r="H176">
        <v>66.23</v>
      </c>
      <c r="I176" t="s">
        <v>18</v>
      </c>
      <c r="J176" t="s">
        <v>22</v>
      </c>
      <c r="K176">
        <v>31.46</v>
      </c>
      <c r="L176">
        <v>41.11</v>
      </c>
    </row>
    <row r="177" spans="1:12" x14ac:dyDescent="0.3">
      <c r="A177" t="s">
        <v>31</v>
      </c>
      <c r="B177">
        <v>2024</v>
      </c>
      <c r="C177" t="s">
        <v>20</v>
      </c>
      <c r="D177">
        <v>82.54</v>
      </c>
      <c r="E177">
        <v>71.06</v>
      </c>
      <c r="F177">
        <v>44.65</v>
      </c>
      <c r="G177">
        <v>28.93</v>
      </c>
      <c r="H177">
        <v>39.83</v>
      </c>
      <c r="I177" t="s">
        <v>18</v>
      </c>
      <c r="J177" t="s">
        <v>29</v>
      </c>
      <c r="K177">
        <v>33.51</v>
      </c>
      <c r="L177">
        <v>49.28</v>
      </c>
    </row>
    <row r="178" spans="1:12" x14ac:dyDescent="0.3">
      <c r="A178" t="s">
        <v>31</v>
      </c>
      <c r="B178">
        <v>2025</v>
      </c>
      <c r="C178" t="s">
        <v>40</v>
      </c>
      <c r="D178">
        <v>64.87</v>
      </c>
      <c r="E178">
        <v>49.04</v>
      </c>
      <c r="F178">
        <v>36.31</v>
      </c>
      <c r="G178">
        <v>38.159999999999997</v>
      </c>
      <c r="H178">
        <v>82.41</v>
      </c>
      <c r="I178" t="s">
        <v>35</v>
      </c>
      <c r="J178" t="s">
        <v>29</v>
      </c>
      <c r="K178">
        <v>78.14</v>
      </c>
      <c r="L178">
        <v>20.54</v>
      </c>
    </row>
    <row r="179" spans="1:12" x14ac:dyDescent="0.3">
      <c r="A179" t="s">
        <v>31</v>
      </c>
      <c r="B179">
        <v>2025</v>
      </c>
      <c r="C179" t="s">
        <v>25</v>
      </c>
      <c r="D179">
        <v>28.27</v>
      </c>
      <c r="E179">
        <v>3.98</v>
      </c>
      <c r="F179">
        <v>3.19</v>
      </c>
      <c r="G179">
        <v>6.12</v>
      </c>
      <c r="H179">
        <v>49.89</v>
      </c>
      <c r="I179" t="s">
        <v>26</v>
      </c>
      <c r="J179" t="s">
        <v>29</v>
      </c>
      <c r="K179">
        <v>54.77</v>
      </c>
      <c r="L179">
        <v>4.4000000000000004</v>
      </c>
    </row>
    <row r="180" spans="1:12" x14ac:dyDescent="0.3">
      <c r="A180" t="s">
        <v>31</v>
      </c>
      <c r="B180">
        <v>2025</v>
      </c>
      <c r="C180" t="s">
        <v>34</v>
      </c>
      <c r="D180">
        <v>83.85</v>
      </c>
      <c r="E180">
        <v>7</v>
      </c>
      <c r="F180">
        <v>22.88</v>
      </c>
      <c r="G180">
        <v>59.43</v>
      </c>
      <c r="H180">
        <v>66.73</v>
      </c>
      <c r="I180" t="s">
        <v>35</v>
      </c>
      <c r="J180" t="s">
        <v>29</v>
      </c>
      <c r="K180">
        <v>43.37</v>
      </c>
      <c r="L180">
        <v>21.52</v>
      </c>
    </row>
    <row r="181" spans="1:12" x14ac:dyDescent="0.3">
      <c r="A181" t="s">
        <v>19</v>
      </c>
      <c r="B181">
        <v>2020</v>
      </c>
      <c r="C181" t="s">
        <v>27</v>
      </c>
      <c r="D181">
        <v>26.12</v>
      </c>
      <c r="E181">
        <v>73.78</v>
      </c>
      <c r="F181">
        <v>21.51</v>
      </c>
      <c r="G181">
        <v>22.63</v>
      </c>
      <c r="H181">
        <v>65.41</v>
      </c>
      <c r="I181" t="s">
        <v>26</v>
      </c>
      <c r="J181" t="s">
        <v>15</v>
      </c>
      <c r="K181">
        <v>44.56</v>
      </c>
      <c r="L181">
        <v>3.46</v>
      </c>
    </row>
    <row r="182" spans="1:12" x14ac:dyDescent="0.3">
      <c r="A182" t="s">
        <v>19</v>
      </c>
      <c r="B182">
        <v>2020</v>
      </c>
      <c r="C182" t="s">
        <v>13</v>
      </c>
      <c r="D182">
        <v>27.5</v>
      </c>
      <c r="E182">
        <v>23.67</v>
      </c>
      <c r="F182">
        <v>2.21</v>
      </c>
      <c r="G182">
        <v>56.52</v>
      </c>
      <c r="H182">
        <v>60.77</v>
      </c>
      <c r="I182" t="s">
        <v>24</v>
      </c>
      <c r="J182" t="s">
        <v>15</v>
      </c>
      <c r="K182">
        <v>36.75</v>
      </c>
      <c r="L182">
        <v>12.56</v>
      </c>
    </row>
    <row r="183" spans="1:12" x14ac:dyDescent="0.3">
      <c r="A183" t="s">
        <v>19</v>
      </c>
      <c r="B183">
        <v>2020</v>
      </c>
      <c r="C183" t="s">
        <v>41</v>
      </c>
      <c r="D183">
        <v>36.520000000000003</v>
      </c>
      <c r="E183">
        <v>4.2</v>
      </c>
      <c r="F183">
        <v>25.53</v>
      </c>
      <c r="G183">
        <v>71.010000000000005</v>
      </c>
      <c r="H183">
        <v>21.92</v>
      </c>
      <c r="I183" t="s">
        <v>14</v>
      </c>
      <c r="J183" t="s">
        <v>22</v>
      </c>
      <c r="K183">
        <v>84.9</v>
      </c>
      <c r="L183">
        <v>29.93</v>
      </c>
    </row>
    <row r="184" spans="1:12" x14ac:dyDescent="0.3">
      <c r="A184" t="s">
        <v>19</v>
      </c>
      <c r="B184">
        <v>2021</v>
      </c>
      <c r="C184" t="s">
        <v>27</v>
      </c>
      <c r="D184">
        <v>66.95</v>
      </c>
      <c r="E184">
        <v>47.72</v>
      </c>
      <c r="F184">
        <v>0.86</v>
      </c>
      <c r="G184">
        <v>27.58</v>
      </c>
      <c r="H184">
        <v>64.42</v>
      </c>
      <c r="I184" t="s">
        <v>28</v>
      </c>
      <c r="J184" t="s">
        <v>29</v>
      </c>
      <c r="K184">
        <v>68.14</v>
      </c>
      <c r="L184">
        <v>8.09</v>
      </c>
    </row>
    <row r="185" spans="1:12" x14ac:dyDescent="0.3">
      <c r="A185" t="s">
        <v>19</v>
      </c>
      <c r="B185">
        <v>2021</v>
      </c>
      <c r="C185" t="s">
        <v>40</v>
      </c>
      <c r="D185">
        <v>83.4</v>
      </c>
      <c r="E185">
        <v>66.33</v>
      </c>
      <c r="F185">
        <v>24.27</v>
      </c>
      <c r="G185">
        <v>34.950000000000003</v>
      </c>
      <c r="H185">
        <v>47.21</v>
      </c>
      <c r="I185" t="s">
        <v>24</v>
      </c>
      <c r="J185" t="s">
        <v>22</v>
      </c>
      <c r="K185">
        <v>47.81</v>
      </c>
      <c r="L185">
        <v>47.4</v>
      </c>
    </row>
    <row r="186" spans="1:12" x14ac:dyDescent="0.3">
      <c r="A186" t="s">
        <v>19</v>
      </c>
      <c r="B186">
        <v>2021</v>
      </c>
      <c r="C186" t="s">
        <v>25</v>
      </c>
      <c r="D186">
        <v>67.180000000000007</v>
      </c>
      <c r="E186">
        <v>7.92</v>
      </c>
      <c r="F186">
        <v>40.549999999999997</v>
      </c>
      <c r="G186">
        <v>52.54</v>
      </c>
      <c r="H186">
        <v>50.3</v>
      </c>
      <c r="I186" t="s">
        <v>35</v>
      </c>
      <c r="J186" t="s">
        <v>22</v>
      </c>
      <c r="K186">
        <v>73.150000000000006</v>
      </c>
      <c r="L186">
        <v>8.66</v>
      </c>
    </row>
    <row r="187" spans="1:12" x14ac:dyDescent="0.3">
      <c r="A187" t="s">
        <v>19</v>
      </c>
      <c r="B187">
        <v>2021</v>
      </c>
      <c r="C187" t="s">
        <v>37</v>
      </c>
      <c r="D187">
        <v>56.81</v>
      </c>
      <c r="E187">
        <v>56.52</v>
      </c>
      <c r="F187">
        <v>15.98</v>
      </c>
      <c r="G187">
        <v>69.17</v>
      </c>
      <c r="H187">
        <v>51.21</v>
      </c>
      <c r="I187" t="s">
        <v>26</v>
      </c>
      <c r="J187" t="s">
        <v>29</v>
      </c>
      <c r="K187">
        <v>54.41</v>
      </c>
      <c r="L187">
        <v>20.22</v>
      </c>
    </row>
    <row r="188" spans="1:12" x14ac:dyDescent="0.3">
      <c r="A188" t="s">
        <v>19</v>
      </c>
      <c r="B188">
        <v>2021</v>
      </c>
      <c r="C188" t="s">
        <v>33</v>
      </c>
      <c r="D188">
        <v>73.11</v>
      </c>
      <c r="E188">
        <v>98.77</v>
      </c>
      <c r="F188">
        <v>38.22</v>
      </c>
      <c r="G188">
        <v>67.17</v>
      </c>
      <c r="H188">
        <v>87.65</v>
      </c>
      <c r="I188" t="s">
        <v>35</v>
      </c>
      <c r="J188" t="s">
        <v>29</v>
      </c>
      <c r="K188">
        <v>31.54</v>
      </c>
      <c r="L188">
        <v>31.14</v>
      </c>
    </row>
    <row r="189" spans="1:12" x14ac:dyDescent="0.3">
      <c r="A189" t="s">
        <v>19</v>
      </c>
      <c r="B189">
        <v>2021</v>
      </c>
      <c r="C189" t="s">
        <v>33</v>
      </c>
      <c r="D189">
        <v>87.79</v>
      </c>
      <c r="E189">
        <v>40.86</v>
      </c>
      <c r="F189">
        <v>28.82</v>
      </c>
      <c r="G189">
        <v>74.040000000000006</v>
      </c>
      <c r="H189">
        <v>70.58</v>
      </c>
      <c r="I189" t="s">
        <v>21</v>
      </c>
      <c r="J189" t="s">
        <v>15</v>
      </c>
      <c r="K189">
        <v>60.03</v>
      </c>
      <c r="L189">
        <v>12.22</v>
      </c>
    </row>
    <row r="190" spans="1:12" x14ac:dyDescent="0.3">
      <c r="A190" t="s">
        <v>19</v>
      </c>
      <c r="B190">
        <v>2022</v>
      </c>
      <c r="C190" t="s">
        <v>20</v>
      </c>
      <c r="D190">
        <v>81.06</v>
      </c>
      <c r="E190">
        <v>96.13</v>
      </c>
      <c r="F190">
        <v>10.66</v>
      </c>
      <c r="G190">
        <v>45.6</v>
      </c>
      <c r="H190">
        <v>39.659999999999997</v>
      </c>
      <c r="I190" t="s">
        <v>21</v>
      </c>
      <c r="J190" t="s">
        <v>22</v>
      </c>
      <c r="K190">
        <v>54.47</v>
      </c>
      <c r="L190">
        <v>22.76</v>
      </c>
    </row>
    <row r="191" spans="1:12" x14ac:dyDescent="0.3">
      <c r="A191" t="s">
        <v>19</v>
      </c>
      <c r="B191">
        <v>2022</v>
      </c>
      <c r="C191" t="s">
        <v>40</v>
      </c>
      <c r="D191">
        <v>44.61</v>
      </c>
      <c r="E191">
        <v>26.16</v>
      </c>
      <c r="F191">
        <v>49.34</v>
      </c>
      <c r="G191">
        <v>58.53</v>
      </c>
      <c r="H191">
        <v>75.290000000000006</v>
      </c>
      <c r="I191" t="s">
        <v>21</v>
      </c>
      <c r="J191" t="s">
        <v>22</v>
      </c>
      <c r="K191">
        <v>32.96</v>
      </c>
      <c r="L191">
        <v>43.24</v>
      </c>
    </row>
    <row r="192" spans="1:12" x14ac:dyDescent="0.3">
      <c r="A192" t="s">
        <v>19</v>
      </c>
      <c r="B192">
        <v>2022</v>
      </c>
      <c r="C192" t="s">
        <v>25</v>
      </c>
      <c r="D192">
        <v>93</v>
      </c>
      <c r="E192">
        <v>42.7</v>
      </c>
      <c r="F192">
        <v>12.92</v>
      </c>
      <c r="G192">
        <v>55.65</v>
      </c>
      <c r="H192">
        <v>51</v>
      </c>
      <c r="I192" t="s">
        <v>28</v>
      </c>
      <c r="J192" t="s">
        <v>29</v>
      </c>
      <c r="K192">
        <v>47.34</v>
      </c>
      <c r="L192">
        <v>21.16</v>
      </c>
    </row>
    <row r="193" spans="1:12" x14ac:dyDescent="0.3">
      <c r="A193" t="s">
        <v>19</v>
      </c>
      <c r="B193">
        <v>2023</v>
      </c>
      <c r="C193" t="s">
        <v>27</v>
      </c>
      <c r="D193">
        <v>11.94</v>
      </c>
      <c r="E193">
        <v>91.59</v>
      </c>
      <c r="F193">
        <v>26.28</v>
      </c>
      <c r="G193">
        <v>73.930000000000007</v>
      </c>
      <c r="H193">
        <v>57.55</v>
      </c>
      <c r="I193" t="s">
        <v>35</v>
      </c>
      <c r="J193" t="s">
        <v>22</v>
      </c>
      <c r="K193">
        <v>65.790000000000006</v>
      </c>
      <c r="L193">
        <v>29.3</v>
      </c>
    </row>
    <row r="194" spans="1:12" x14ac:dyDescent="0.3">
      <c r="A194" t="s">
        <v>19</v>
      </c>
      <c r="B194">
        <v>2023</v>
      </c>
      <c r="C194" t="s">
        <v>41</v>
      </c>
      <c r="D194">
        <v>83.2</v>
      </c>
      <c r="E194">
        <v>4.8499999999999996</v>
      </c>
      <c r="F194">
        <v>40.840000000000003</v>
      </c>
      <c r="G194">
        <v>22.58</v>
      </c>
      <c r="H194">
        <v>82.54</v>
      </c>
      <c r="I194" t="s">
        <v>14</v>
      </c>
      <c r="J194" t="s">
        <v>22</v>
      </c>
      <c r="K194">
        <v>76.14</v>
      </c>
      <c r="L194">
        <v>35.299999999999997</v>
      </c>
    </row>
    <row r="195" spans="1:12" x14ac:dyDescent="0.3">
      <c r="A195" t="s">
        <v>19</v>
      </c>
      <c r="B195">
        <v>2024</v>
      </c>
      <c r="C195" t="s">
        <v>37</v>
      </c>
      <c r="D195">
        <v>32</v>
      </c>
      <c r="E195">
        <v>44.26</v>
      </c>
      <c r="F195">
        <v>0.09</v>
      </c>
      <c r="G195">
        <v>40.67</v>
      </c>
      <c r="H195">
        <v>32.979999999999997</v>
      </c>
      <c r="I195" t="s">
        <v>14</v>
      </c>
      <c r="J195" t="s">
        <v>15</v>
      </c>
      <c r="K195">
        <v>60.99</v>
      </c>
      <c r="L195">
        <v>22.31</v>
      </c>
    </row>
    <row r="196" spans="1:12" x14ac:dyDescent="0.3">
      <c r="A196" t="s">
        <v>19</v>
      </c>
      <c r="B196">
        <v>2025</v>
      </c>
      <c r="C196" t="s">
        <v>25</v>
      </c>
      <c r="D196">
        <v>49.71</v>
      </c>
      <c r="E196">
        <v>50.19</v>
      </c>
      <c r="F196">
        <v>14.09</v>
      </c>
      <c r="G196">
        <v>12.41</v>
      </c>
      <c r="H196">
        <v>40.18</v>
      </c>
      <c r="I196" t="s">
        <v>21</v>
      </c>
      <c r="J196" t="s">
        <v>22</v>
      </c>
      <c r="K196">
        <v>57.05</v>
      </c>
      <c r="L196">
        <v>5.76</v>
      </c>
    </row>
    <row r="197" spans="1:12" x14ac:dyDescent="0.3">
      <c r="A197" t="s">
        <v>19</v>
      </c>
      <c r="B197">
        <v>2025</v>
      </c>
      <c r="C197" t="s">
        <v>13</v>
      </c>
      <c r="D197">
        <v>33.229999999999997</v>
      </c>
      <c r="E197">
        <v>75.510000000000005</v>
      </c>
      <c r="F197">
        <v>12.61</v>
      </c>
      <c r="G197">
        <v>63.58</v>
      </c>
      <c r="H197">
        <v>77.34</v>
      </c>
      <c r="I197" t="s">
        <v>18</v>
      </c>
      <c r="J197" t="s">
        <v>29</v>
      </c>
      <c r="K197">
        <v>48.51</v>
      </c>
      <c r="L197">
        <v>4.66</v>
      </c>
    </row>
    <row r="198" spans="1:12" x14ac:dyDescent="0.3">
      <c r="A198" t="s">
        <v>19</v>
      </c>
      <c r="B198">
        <v>2025</v>
      </c>
      <c r="C198" t="s">
        <v>27</v>
      </c>
      <c r="D198">
        <v>26.57</v>
      </c>
      <c r="E198">
        <v>38.869999999999997</v>
      </c>
      <c r="F198">
        <v>16.329999999999998</v>
      </c>
      <c r="G198">
        <v>27.7</v>
      </c>
      <c r="H198">
        <v>77.03</v>
      </c>
      <c r="I198" t="s">
        <v>24</v>
      </c>
      <c r="J198" t="s">
        <v>22</v>
      </c>
      <c r="K198">
        <v>76.47</v>
      </c>
      <c r="L198">
        <v>16.73</v>
      </c>
    </row>
    <row r="199" spans="1:12" x14ac:dyDescent="0.3">
      <c r="A199" t="s">
        <v>19</v>
      </c>
      <c r="B199">
        <v>2025</v>
      </c>
      <c r="C199" t="s">
        <v>37</v>
      </c>
      <c r="D199">
        <v>45.3</v>
      </c>
      <c r="E199">
        <v>42.81</v>
      </c>
      <c r="F199">
        <v>3.03</v>
      </c>
      <c r="G199">
        <v>24.96</v>
      </c>
      <c r="H199">
        <v>78.13</v>
      </c>
      <c r="I199" t="s">
        <v>14</v>
      </c>
      <c r="J199" t="s">
        <v>22</v>
      </c>
      <c r="K199">
        <v>66.28</v>
      </c>
      <c r="L199">
        <v>10.51</v>
      </c>
    </row>
    <row r="200" spans="1:12" x14ac:dyDescent="0.3">
      <c r="A200" t="s">
        <v>19</v>
      </c>
      <c r="B200">
        <v>2025</v>
      </c>
      <c r="C200" t="s">
        <v>27</v>
      </c>
      <c r="D200">
        <v>38.21</v>
      </c>
      <c r="E200">
        <v>1.04</v>
      </c>
      <c r="F200">
        <v>36.85</v>
      </c>
      <c r="G200">
        <v>8.52</v>
      </c>
      <c r="H200">
        <v>24.88</v>
      </c>
      <c r="I200" t="s">
        <v>24</v>
      </c>
      <c r="J200" t="s">
        <v>29</v>
      </c>
      <c r="K200">
        <v>39.31</v>
      </c>
      <c r="L200">
        <v>11.84</v>
      </c>
    </row>
    <row r="201" spans="1:12" x14ac:dyDescent="0.3">
      <c r="A201" t="s">
        <v>19</v>
      </c>
      <c r="B201">
        <v>2025</v>
      </c>
      <c r="C201" t="s">
        <v>25</v>
      </c>
      <c r="D201">
        <v>29.49</v>
      </c>
      <c r="E201">
        <v>33.14</v>
      </c>
      <c r="F201">
        <v>13.89</v>
      </c>
      <c r="G201">
        <v>4.1900000000000004</v>
      </c>
      <c r="H201">
        <v>46.4</v>
      </c>
      <c r="I201" t="s">
        <v>14</v>
      </c>
      <c r="J201" t="s">
        <v>15</v>
      </c>
      <c r="K201">
        <v>53.68</v>
      </c>
      <c r="L201">
        <v>43.36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KPI</vt:lpstr>
      <vt:lpstr>Dashboard</vt:lpstr>
      <vt:lpstr>AdoptionRate</vt:lpstr>
      <vt:lpstr>ConsumerTrust</vt:lpstr>
      <vt:lpstr>RegulationStatus</vt:lpstr>
      <vt:lpstr>RevenueIncrease</vt:lpstr>
      <vt:lpstr>Jobloss</vt:lpstr>
      <vt:lpstr>Global_AI_Content_Impact_Datase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Srushti Zende</cp:lastModifiedBy>
  <dcterms:created xsi:type="dcterms:W3CDTF">2025-08-01T08:16:58Z</dcterms:created>
  <dcterms:modified xsi:type="dcterms:W3CDTF">2025-09-16T04:07:31Z</dcterms:modified>
</cp:coreProperties>
</file>